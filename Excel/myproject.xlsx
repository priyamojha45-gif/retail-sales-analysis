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8_{6EA0D182-86C9-4094-B165-85467012FF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7" r:id="rId1"/>
    <sheet name="analysis" sheetId="2" r:id="rId2"/>
    <sheet name="Raw_Data" sheetId="1" r:id="rId3"/>
    <sheet name="categoryanalysis" sheetId="3" r:id="rId4"/>
    <sheet name="Regionalanalysis" sheetId="4" r:id="rId5"/>
    <sheet name="Productanalysis" sheetId="5" r:id="rId6"/>
    <sheet name="Monthy analysis" sheetId="6" r:id="rId7"/>
  </sheets>
  <definedNames>
    <definedName name="_xlnm._FilterDatabase" localSheetId="2" hidden="1">Raw_Data!$A$1:$Q$1501</definedName>
  </definedNames>
  <calcPr calcId="191029"/>
  <pivotCaches>
    <pivotCache cacheId="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" i="2" l="1"/>
  <c r="D41" i="2"/>
  <c r="D40" i="2"/>
  <c r="D39" i="2"/>
  <c r="D38" i="2"/>
  <c r="D37" i="2"/>
  <c r="D36" i="2"/>
  <c r="D35" i="2"/>
  <c r="D34" i="2"/>
  <c r="D33" i="2"/>
  <c r="D32" i="2"/>
  <c r="D31" i="2"/>
  <c r="D24" i="2"/>
  <c r="D23" i="2"/>
  <c r="D22" i="2"/>
  <c r="D18" i="2"/>
  <c r="D17" i="2"/>
  <c r="D16" i="2"/>
  <c r="D15" i="2"/>
  <c r="D10" i="2"/>
  <c r="D11" i="2"/>
  <c r="D9" i="2"/>
  <c r="B4" i="2"/>
  <c r="G5" i="7" s="1"/>
  <c r="B2" i="2"/>
  <c r="B1" i="2"/>
  <c r="B5" i="2" s="1"/>
  <c r="I5" i="7" s="1"/>
  <c r="C9" i="3"/>
  <c r="B3" i="2" l="1"/>
  <c r="E5" i="7" s="1"/>
  <c r="A5" i="7"/>
  <c r="C5" i="7"/>
</calcChain>
</file>

<file path=xl/sharedStrings.xml><?xml version="1.0" encoding="utf-8"?>
<sst xmlns="http://schemas.openxmlformats.org/spreadsheetml/2006/main" count="16624" uniqueCount="2222">
  <si>
    <t>Order_ID</t>
  </si>
  <si>
    <t>Order_Date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</si>
  <si>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</si>
  <si>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</si>
  <si>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</si>
  <si>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</si>
  <si>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</si>
  <si>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</si>
  <si>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</si>
  <si>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</si>
  <si>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</si>
  <si>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Quantity</t>
  </si>
  <si>
    <t>Unit_Price</t>
  </si>
  <si>
    <t>Discount</t>
  </si>
  <si>
    <t>Sales</t>
  </si>
  <si>
    <t>Profit</t>
  </si>
  <si>
    <t>Payment_Mode</t>
  </si>
  <si>
    <t>ORD-01344</t>
  </si>
  <si>
    <t>ORD-00044</t>
  </si>
  <si>
    <t>ORD-00421</t>
  </si>
  <si>
    <t>ORD-01084</t>
  </si>
  <si>
    <t>ORD-00134</t>
  </si>
  <si>
    <t>ORD-00985</t>
  </si>
  <si>
    <t>ORD-00843</t>
  </si>
  <si>
    <t>ORD-00014</t>
  </si>
  <si>
    <t>ORD-01215</t>
  </si>
  <si>
    <t>ORD-00447</t>
  </si>
  <si>
    <t>ORD-01430</t>
  </si>
  <si>
    <t>ORD-01163</t>
  </si>
  <si>
    <t>ORD-01011</t>
  </si>
  <si>
    <t>ORD-01044</t>
  </si>
  <si>
    <t>ORD-00101</t>
  </si>
  <si>
    <t>ORD-00278</t>
  </si>
  <si>
    <t>ORD-01354</t>
  </si>
  <si>
    <t>ORD-01051</t>
  </si>
  <si>
    <t>ORD-00494</t>
  </si>
  <si>
    <t>ORD-00023</t>
  </si>
  <si>
    <t>ORD-00544</t>
  </si>
  <si>
    <t>ORD-01375</t>
  </si>
  <si>
    <t>ORD-01367</t>
  </si>
  <si>
    <t>ORD-01269</t>
  </si>
  <si>
    <t>ORD-01411</t>
  </si>
  <si>
    <t>ORD-00161</t>
  </si>
  <si>
    <t>ORD-01150</t>
  </si>
  <si>
    <t>ORD-01286</t>
  </si>
  <si>
    <t>ORD-00730</t>
  </si>
  <si>
    <t>ORD-00606</t>
  </si>
  <si>
    <t>ORD-00057</t>
  </si>
  <si>
    <t>ORD-00657</t>
  </si>
  <si>
    <t>ORD-00812</t>
  </si>
  <si>
    <t>ORD-00382</t>
  </si>
  <si>
    <t>ORD-00237</t>
  </si>
  <si>
    <t>ORD-00485</t>
  </si>
  <si>
    <t>ORD-00437</t>
  </si>
  <si>
    <t>ORD-00500</t>
  </si>
  <si>
    <t>ORD-00149</t>
  </si>
  <si>
    <t>ORD-00673</t>
  </si>
  <si>
    <t>ORD-01099</t>
  </si>
  <si>
    <t>ORD-00774</t>
  </si>
  <si>
    <t>ORD-00049</t>
  </si>
  <si>
    <t>ORD-00074</t>
  </si>
  <si>
    <t>ORD-00341</t>
  </si>
  <si>
    <t>ORD-00338</t>
  </si>
  <si>
    <t>ORD-01007</t>
  </si>
  <si>
    <t>ORD-00564</t>
  </si>
  <si>
    <t>ORD-01459</t>
  </si>
  <si>
    <t>ORD-01160</t>
  </si>
  <si>
    <t>ORD-00862</t>
  </si>
  <si>
    <t>ORD-01400</t>
  </si>
  <si>
    <t>ORD-00340</t>
  </si>
  <si>
    <t>ORD-00859</t>
  </si>
  <si>
    <t>ORD-00131</t>
  </si>
  <si>
    <t>ORD-00126</t>
  </si>
  <si>
    <t>ORD-01264</t>
  </si>
  <si>
    <t>ORD-00167</t>
  </si>
  <si>
    <t>ORD-01228</t>
  </si>
  <si>
    <t>ORD-00589</t>
  </si>
  <si>
    <t>ORD-00980</t>
  </si>
  <si>
    <t>ORD-01186</t>
  </si>
  <si>
    <t>ORD-00073</t>
  </si>
  <si>
    <t>ORD-00911</t>
  </si>
  <si>
    <t>ORD-00893</t>
  </si>
  <si>
    <t>ORD-01445</t>
  </si>
  <si>
    <t>ORD-00300</t>
  </si>
  <si>
    <t>ORD-00781</t>
  </si>
  <si>
    <t>ORD-01180</t>
  </si>
  <si>
    <t>ORD-00584</t>
  </si>
  <si>
    <t>ORD-01469</t>
  </si>
  <si>
    <t>ORD-00113</t>
  </si>
  <si>
    <t>ORD-00173</t>
  </si>
  <si>
    <t>ORD-01047</t>
  </si>
  <si>
    <t>ORD-01171</t>
  </si>
  <si>
    <t>ORD-01424</t>
  </si>
  <si>
    <t>ORD-00455</t>
  </si>
  <si>
    <t>ORD-00790</t>
  </si>
  <si>
    <t>ORD-00938</t>
  </si>
  <si>
    <t>ORD-01303</t>
  </si>
  <si>
    <t>ORD-01304</t>
  </si>
  <si>
    <t>ORD-01306</t>
  </si>
  <si>
    <t>ORD-00808</t>
  </si>
  <si>
    <t>ORD-00369</t>
  </si>
  <si>
    <t>ORD-01417</t>
  </si>
  <si>
    <t>ORD-01471</t>
  </si>
  <si>
    <t>ORD-01262</t>
  </si>
  <si>
    <t>ORD-00334</t>
  </si>
  <si>
    <t>ORD-01132</t>
  </si>
  <si>
    <t>ORD-01433</t>
  </si>
  <si>
    <t>ORD-00857</t>
  </si>
  <si>
    <t>ORD-01443</t>
  </si>
  <si>
    <t>ORD-00316</t>
  </si>
  <si>
    <t>ORD-00249</t>
  </si>
  <si>
    <t>ORD-00748</t>
  </si>
  <si>
    <t>ORD-00248</t>
  </si>
  <si>
    <t>ORD-01410</t>
  </si>
  <si>
    <t>ORD-01319</t>
  </si>
  <si>
    <t>ORD-00835</t>
  </si>
  <si>
    <t>ORD-01426</t>
  </si>
  <si>
    <t>ORD-00546</t>
  </si>
  <si>
    <t>ORD-00458</t>
  </si>
  <si>
    <t>ORD-00971</t>
  </si>
  <si>
    <t>ORD-00576</t>
  </si>
  <si>
    <t>ORD-01149</t>
  </si>
  <si>
    <t>ORD-00163</t>
  </si>
  <si>
    <t>ORD-00689</t>
  </si>
  <si>
    <t>ORD-00476</t>
  </si>
  <si>
    <t>ORD-01240</t>
  </si>
  <si>
    <t>ORD-01258</t>
  </si>
  <si>
    <t>ORD-00811</t>
  </si>
  <si>
    <t>ORD-00870</t>
  </si>
  <si>
    <t>ORD-00846</t>
  </si>
  <si>
    <t>ORD-00327</t>
  </si>
  <si>
    <t>ORD-00517</t>
  </si>
  <si>
    <t>ORD-00117</t>
  </si>
  <si>
    <t>ORD-00943</t>
  </si>
  <si>
    <t>ORD-00648</t>
  </si>
  <si>
    <t>ORD-01057</t>
  </si>
  <si>
    <t>ORD-00990</t>
  </si>
  <si>
    <t>ORD-01444</t>
  </si>
  <si>
    <t>ORD-00501</t>
  </si>
  <si>
    <t>ORD-01288</t>
  </si>
  <si>
    <t>ORD-01082</t>
  </si>
  <si>
    <t>ORD-01389</t>
  </si>
  <si>
    <t>ORD-00733</t>
  </si>
  <si>
    <t>ORD-00717</t>
  </si>
  <si>
    <t>ORD-00435</t>
  </si>
  <si>
    <t>ORD-01486</t>
  </si>
  <si>
    <t>ORD-01140</t>
  </si>
  <si>
    <t>ORD-01191</t>
  </si>
  <si>
    <t>ORD-00613</t>
  </si>
  <si>
    <t>ORD-00772</t>
  </si>
  <si>
    <t>ORD-00908</t>
  </si>
  <si>
    <t>ORD-00466</t>
  </si>
  <si>
    <t>ORD-00728</t>
  </si>
  <si>
    <t>ORD-00199</t>
  </si>
  <si>
    <t>ORD-01454</t>
  </si>
  <si>
    <t>ORD-01257</t>
  </si>
  <si>
    <t>ORD-01175</t>
  </si>
  <si>
    <t>ORD-00290</t>
  </si>
  <si>
    <t>ORD-01050</t>
  </si>
  <si>
    <t>ORD-00750</t>
  </si>
  <si>
    <t>ORD-00056</t>
  </si>
  <si>
    <t>ORD-00583</t>
  </si>
  <si>
    <t>ORD-00760</t>
  </si>
  <si>
    <t>ORD-00212</t>
  </si>
  <si>
    <t>ORD-00625</t>
  </si>
  <si>
    <t>ORD-00070</t>
  </si>
  <si>
    <t>ORD-00004</t>
  </si>
  <si>
    <t>ORD-00992</t>
  </si>
  <si>
    <t>ORD-01031</t>
  </si>
  <si>
    <t>ORD-01196</t>
  </si>
  <si>
    <t>ORD-01184</t>
  </si>
  <si>
    <t>ORD-01464</t>
  </si>
  <si>
    <t>ORD-00037</t>
  </si>
  <si>
    <t>ORD-00395</t>
  </si>
  <si>
    <t>ORD-00018</t>
  </si>
  <si>
    <t>ORD-00684</t>
  </si>
  <si>
    <t>ORD-01102</t>
  </si>
  <si>
    <t>ORD-00646</t>
  </si>
  <si>
    <t>ORD-00233</t>
  </si>
  <si>
    <t>ORD-00109</t>
  </si>
  <si>
    <t>ORD-01178</t>
  </si>
  <si>
    <t>ORD-00218</t>
  </si>
  <si>
    <t>ORD-00069</t>
  </si>
  <si>
    <t>ORD-00226</t>
  </si>
  <si>
    <t>ORD-00529</t>
  </si>
  <si>
    <t>ORD-00178</t>
  </si>
  <si>
    <t>ORD-01371</t>
  </si>
  <si>
    <t>ORD-00527</t>
  </si>
  <si>
    <t>ORD-00924</t>
  </si>
  <si>
    <t>ORD-01179</t>
  </si>
  <si>
    <t>ORD-01018</t>
  </si>
  <si>
    <t>ORD-00858</t>
  </si>
  <si>
    <t>ORD-00491</t>
  </si>
  <si>
    <t>ORD-00507</t>
  </si>
  <si>
    <t>ORD-00170</t>
  </si>
  <si>
    <t>ORD-00778</t>
  </si>
  <si>
    <t>ORD-00459</t>
  </si>
  <si>
    <t>ORD-01499</t>
  </si>
  <si>
    <t>ORD-00755</t>
  </si>
  <si>
    <t>ORD-01331</t>
  </si>
  <si>
    <t>ORD-00464</t>
  </si>
  <si>
    <t>ORD-01085</t>
  </si>
  <si>
    <t>ORD-01466</t>
  </si>
  <si>
    <t>ORD-00621</t>
  </si>
  <si>
    <t>ORD-00414</t>
  </si>
  <si>
    <t>ORD-00662</t>
  </si>
  <si>
    <t>ORD-00809</t>
  </si>
  <si>
    <t>ORD-00926</t>
  </si>
  <si>
    <t>ORD-00619</t>
  </si>
  <si>
    <t>ORD-00122</t>
  </si>
  <si>
    <t>ORD-00853</t>
  </si>
  <si>
    <t>ORD-00297</t>
  </si>
  <si>
    <t>ORD-00962</t>
  </si>
  <si>
    <t>ORD-01324</t>
  </si>
  <si>
    <t>ORD-00472</t>
  </si>
  <si>
    <t>ORD-00844</t>
  </si>
  <si>
    <t>ORD-01172</t>
  </si>
  <si>
    <t>ORD-00480</t>
  </si>
  <si>
    <t>ORD-00701</t>
  </si>
  <si>
    <t>ORD-00655</t>
  </si>
  <si>
    <t>ORD-01488</t>
  </si>
  <si>
    <t>ORD-00953</t>
  </si>
  <si>
    <t>ORD-00768</t>
  </si>
  <si>
    <t>ORD-00082</t>
  </si>
  <si>
    <t>ORD-00537</t>
  </si>
  <si>
    <t>ORD-00907</t>
  </si>
  <si>
    <t>ORD-00175</t>
  </si>
  <si>
    <t>ORD-00762</t>
  </si>
  <si>
    <t>ORD-01089</t>
  </si>
  <si>
    <t>ORD-00119</t>
  </si>
  <si>
    <t>ORD-00430</t>
  </si>
  <si>
    <t>ORD-01225</t>
  </si>
  <si>
    <t>ORD-01431</t>
  </si>
  <si>
    <t>ORD-00448</t>
  </si>
  <si>
    <t>ORD-00371</t>
  </si>
  <si>
    <t>ORD-01226</t>
  </si>
  <si>
    <t>ORD-01049</t>
  </si>
  <si>
    <t>ORD-00819</t>
  </si>
  <si>
    <t>ORD-00869</t>
  </si>
  <si>
    <t>ORD-00039</t>
  </si>
  <si>
    <t>ORD-00146</t>
  </si>
  <si>
    <t>ORD-00671</t>
  </si>
  <si>
    <t>ORD-01165</t>
  </si>
  <si>
    <t>ORD-00683</t>
  </si>
  <si>
    <t>ORD-00028</t>
  </si>
  <si>
    <t>ORD-00352</t>
  </si>
  <si>
    <t>ORD-00533</t>
  </si>
  <si>
    <t>ORD-00850</t>
  </si>
  <si>
    <t>ORD-00735</t>
  </si>
  <si>
    <t>ORD-01235</t>
  </si>
  <si>
    <t>ORD-00712</t>
  </si>
  <si>
    <t>ORD-00247</t>
  </si>
  <si>
    <t>ORD-01366</t>
  </si>
  <si>
    <t>ORD-00814</t>
  </si>
  <si>
    <t>ORD-00202</t>
  </si>
  <si>
    <t>ORD-01174</t>
  </si>
  <si>
    <t>ORD-00230</t>
  </si>
  <si>
    <t>ORD-00460</t>
  </si>
  <si>
    <t>ORD-00515</t>
  </si>
  <si>
    <t>ORD-00964</t>
  </si>
  <si>
    <t>ORD-00703</t>
  </si>
  <si>
    <t>ORD-01472</t>
  </si>
  <si>
    <t>ORD-00708</t>
  </si>
  <si>
    <t>ORD-00590</t>
  </si>
  <si>
    <t>ORD-00136</t>
  </si>
  <si>
    <t>ORD-00715</t>
  </si>
  <si>
    <t>ORD-00002</t>
  </si>
  <si>
    <t>ORD-01407</t>
  </si>
  <si>
    <t>ORD-00845</t>
  </si>
  <si>
    <t>ORD-01315</t>
  </si>
  <si>
    <t>ORD-01012</t>
  </si>
  <si>
    <t>ORD-00700</t>
  </si>
  <si>
    <t>ORD-01345</t>
  </si>
  <si>
    <t>ORD-00710</t>
  </si>
  <si>
    <t>ORD-01352</t>
  </si>
  <si>
    <t>ORD-01361</t>
  </si>
  <si>
    <t>ORD-00691</t>
  </si>
  <si>
    <t>ORD-00071</t>
  </si>
  <si>
    <t>ORD-01425</t>
  </si>
  <si>
    <t>ORD-00038</t>
  </si>
  <si>
    <t>ORD-00611</t>
  </si>
  <si>
    <t>ORD-00820</t>
  </si>
  <si>
    <t>ORD-00698</t>
  </si>
  <si>
    <t>ORD-00008</t>
  </si>
  <si>
    <t>ORD-01365</t>
  </si>
  <si>
    <t>ORD-00081</t>
  </si>
  <si>
    <t>ORD-00050</t>
  </si>
  <si>
    <t>ORD-01376</t>
  </si>
  <si>
    <t>ORD-01040</t>
  </si>
  <si>
    <t>ORD-00168</t>
  </si>
  <si>
    <t>ORD-00828</t>
  </si>
  <si>
    <t>ORD-01251</t>
  </si>
  <si>
    <t>ORD-01072</t>
  </si>
  <si>
    <t>ORD-00585</t>
  </si>
  <si>
    <t>ORD-01159</t>
  </si>
  <si>
    <t>ORD-00960</t>
  </si>
  <si>
    <t>ORD-00528</t>
  </si>
  <si>
    <t>ORD-00232</t>
  </si>
  <si>
    <t>ORD-01153</t>
  </si>
  <si>
    <t>ORD-00558</t>
  </si>
  <si>
    <t>ORD-01358</t>
  </si>
  <si>
    <t>ORD-01048</t>
  </si>
  <si>
    <t>ORD-01378</t>
  </si>
  <si>
    <t>ORD-00452</t>
  </si>
  <si>
    <t>ORD-01010</t>
  </si>
  <si>
    <t>ORD-00574</t>
  </si>
  <si>
    <t>ORD-00031</t>
  </si>
  <si>
    <t>ORD-01440</t>
  </si>
  <si>
    <t>ORD-01402</t>
  </si>
  <si>
    <t>ORD-01138</t>
  </si>
  <si>
    <t>ORD-01041</t>
  </si>
  <si>
    <t>ORD-00362</t>
  </si>
  <si>
    <t>ORD-00983</t>
  </si>
  <si>
    <t>ORD-00978</t>
  </si>
  <si>
    <t>ORD-00311</t>
  </si>
  <si>
    <t>ORD-00997</t>
  </si>
  <si>
    <t>ORD-00381</t>
  </si>
  <si>
    <t>ORD-00219</t>
  </si>
  <si>
    <t>ORD-00530</t>
  </si>
  <si>
    <t>ORD-01224</t>
  </si>
  <si>
    <t>ORD-00886</t>
  </si>
  <si>
    <t>ORD-01182</t>
  </si>
  <si>
    <t>ORD-01141</t>
  </si>
  <si>
    <t>ORD-00324</t>
  </si>
  <si>
    <t>ORD-01448</t>
  </si>
  <si>
    <t>ORD-01238</t>
  </si>
  <si>
    <t>ORD-00189</t>
  </si>
  <si>
    <t>ORD-00440</t>
  </si>
  <si>
    <t>ORD-00054</t>
  </si>
  <si>
    <t>ORD-01308</t>
  </si>
  <si>
    <t>ORD-00498</t>
  </si>
  <si>
    <t>ORD-00817</t>
  </si>
  <si>
    <t>ORD-00930</t>
  </si>
  <si>
    <t>ORD-01465</t>
  </si>
  <si>
    <t>ORD-00142</t>
  </si>
  <si>
    <t>ORD-00666</t>
  </si>
  <si>
    <t>ORD-00123</t>
  </si>
  <si>
    <t>ORD-00582</t>
  </si>
  <si>
    <t>ORD-01104</t>
  </si>
  <si>
    <t>ORD-00741</t>
  </si>
  <si>
    <t>ORD-01441</t>
  </si>
  <si>
    <t>ORD-00444</t>
  </si>
  <si>
    <t>ORD-00286</t>
  </si>
  <si>
    <t>ORD-00581</t>
  </si>
  <si>
    <t>ORD-01103</t>
  </si>
  <si>
    <t>ORD-01094</t>
  </si>
  <si>
    <t>ORD-00867</t>
  </si>
  <si>
    <t>ORD-00291</t>
  </si>
  <si>
    <t>ORD-00653</t>
  </si>
  <si>
    <t>ORD-00427</t>
  </si>
  <si>
    <t>ORD-00704</t>
  </si>
  <si>
    <t>ORD-01105</t>
  </si>
  <si>
    <t>ORD-00763</t>
  </si>
  <si>
    <t>ORD-00007</t>
  </si>
  <si>
    <t>ORD-00647</t>
  </si>
  <si>
    <t>ORD-01096</t>
  </si>
  <si>
    <t>ORD-00493</t>
  </si>
  <si>
    <t>ORD-01211</t>
  </si>
  <si>
    <t>ORD-00563</t>
  </si>
  <si>
    <t>ORD-00932</t>
  </si>
  <si>
    <t>ORD-00688</t>
  </si>
  <si>
    <t>ORD-00986</t>
  </si>
  <si>
    <t>ORD-00889</t>
  </si>
  <si>
    <t>ORD-00192</t>
  </si>
  <si>
    <t>ORD-00996</t>
  </si>
  <si>
    <t>ORD-00955</t>
  </si>
  <si>
    <t>ORD-00782</t>
  </si>
  <si>
    <t>ORD-00854</t>
  </si>
  <si>
    <t>ORD-00428</t>
  </si>
  <si>
    <t>ORD-00087</t>
  </si>
  <si>
    <t>ORD-00508</t>
  </si>
  <si>
    <t>ORD-00197</t>
  </si>
  <si>
    <t>ORD-00920</t>
  </si>
  <si>
    <t>ORD-01216</t>
  </si>
  <si>
    <t>ORD-01427</t>
  </si>
  <si>
    <t>ORD-00905</t>
  </si>
  <si>
    <t>ORD-01073</t>
  </si>
  <si>
    <t>ORD-00180</t>
  </si>
  <si>
    <t>ORD-00086</t>
  </si>
  <si>
    <t>ORD-00201</t>
  </si>
  <si>
    <t>ORD-01220</t>
  </si>
  <si>
    <t>ORD-00801</t>
  </si>
  <si>
    <t>ORD-00946</t>
  </si>
  <si>
    <t>ORD-00551</t>
  </si>
  <si>
    <t>ORD-00268</t>
  </si>
  <si>
    <t>ORD-00686</t>
  </si>
  <si>
    <t>ORD-01116</t>
  </si>
  <si>
    <t>ORD-01081</t>
  </si>
  <si>
    <t>ORD-00301</t>
  </si>
  <si>
    <t>ORD-00633</t>
  </si>
  <si>
    <t>ORD-01295</t>
  </si>
  <si>
    <t>ORD-00639</t>
  </si>
  <si>
    <t>ORD-00303</t>
  </si>
  <si>
    <t>ORD-01239</t>
  </si>
  <si>
    <t>ORD-00320</t>
  </si>
  <si>
    <t>ORD-01060</t>
  </si>
  <si>
    <t>ORD-01494</t>
  </si>
  <si>
    <t>ORD-01456</t>
  </si>
  <si>
    <t>ORD-00312</t>
  </si>
  <si>
    <t>ORD-00220</t>
  </si>
  <si>
    <t>ORD-01123</t>
  </si>
  <si>
    <t>ORD-00066</t>
  </si>
  <si>
    <t>ORD-00270</t>
  </si>
  <si>
    <t>ORD-00881</t>
  </si>
  <si>
    <t>ORD-01120</t>
  </si>
  <si>
    <t>ORD-00786</t>
  </si>
  <si>
    <t>ORD-00035</t>
  </si>
  <si>
    <t>ORD-01183</t>
  </si>
  <si>
    <t>ORD-01219</t>
  </si>
  <si>
    <t>ORD-01420</t>
  </si>
  <si>
    <t>ORD-01053</t>
  </si>
  <si>
    <t>ORD-00880</t>
  </si>
  <si>
    <t>ORD-01129</t>
  </si>
  <si>
    <t>ORD-01350</t>
  </si>
  <si>
    <t>ORD-00094</t>
  </si>
  <si>
    <t>ORD-01447</t>
  </si>
  <si>
    <t>ORD-01128</t>
  </si>
  <si>
    <t>ORD-00852</t>
  </si>
  <si>
    <t>ORD-01313</t>
  </si>
  <si>
    <t>ORD-00255</t>
  </si>
  <si>
    <t>ORD-00295</t>
  </si>
  <si>
    <t>ORD-00160</t>
  </si>
  <si>
    <t>ORD-00184</t>
  </si>
  <si>
    <t>ORD-00253</t>
  </si>
  <si>
    <t>ORD-00837</t>
  </si>
  <si>
    <t>ORD-00394</t>
  </si>
  <si>
    <t>ORD-00839</t>
  </si>
  <si>
    <t>ORD-01106</t>
  </si>
  <si>
    <t>ORD-01248</t>
  </si>
  <si>
    <t>ORD-01385</t>
  </si>
  <si>
    <t>ORD-01463</t>
  </si>
  <si>
    <t>ORD-00942</t>
  </si>
  <si>
    <t>ORD-00373</t>
  </si>
  <si>
    <t>ORD-00628</t>
  </si>
  <si>
    <t>ORD-00100</t>
  </si>
  <si>
    <t>ORD-00663</t>
  </si>
  <si>
    <t>ORD-01037</t>
  </si>
  <si>
    <t>ORD-00861</t>
  </si>
  <si>
    <t>ORD-01074</t>
  </si>
  <si>
    <t>ORD-00645</t>
  </si>
  <si>
    <t>ORD-00616</t>
  </si>
  <si>
    <t>ORD-00343</t>
  </si>
  <si>
    <t>ORD-00228</t>
  </si>
  <si>
    <t>ORD-00318</t>
  </si>
  <si>
    <t>ORD-00145</t>
  </si>
  <si>
    <t>ORD-00520</t>
  </si>
  <si>
    <t>ORD-00267</t>
  </si>
  <si>
    <t>ORD-00967</t>
  </si>
  <si>
    <t>ORD-00135</t>
  </si>
  <si>
    <t>ORD-00413</t>
  </si>
  <si>
    <t>ORD-00994</t>
  </si>
  <si>
    <t>ORD-01071</t>
  </si>
  <si>
    <t>ORD-01098</t>
  </si>
  <si>
    <t>ORD-00720</t>
  </si>
  <si>
    <t>ORD-00153</t>
  </si>
  <si>
    <t>ORD-00512</t>
  </si>
  <si>
    <t>ORD-00223</t>
  </si>
  <si>
    <t>ORD-00614</t>
  </si>
  <si>
    <t>ORD-00445</t>
  </si>
  <si>
    <t>ORD-00848</t>
  </si>
  <si>
    <t>ORD-00213</t>
  </si>
  <si>
    <t>ORD-00143</t>
  </si>
  <si>
    <t>ORD-01396</t>
  </si>
  <si>
    <t>ORD-00236</t>
  </si>
  <si>
    <t>ORD-00061</t>
  </si>
  <si>
    <t>ORD-01370</t>
  </si>
  <si>
    <t>ORD-00366</t>
  </si>
  <si>
    <t>ORD-00832</t>
  </si>
  <si>
    <t>ORD-00063</t>
  </si>
  <si>
    <t>ORD-01118</t>
  </si>
  <si>
    <t>ORD-00878</t>
  </si>
  <si>
    <t>ORD-00492</t>
  </si>
  <si>
    <t>ORD-00719</t>
  </si>
  <si>
    <t>ORD-01139</t>
  </si>
  <si>
    <t>ORD-01384</t>
  </si>
  <si>
    <t>ORD-01495</t>
  </si>
  <si>
    <t>ORD-01110</t>
  </si>
  <si>
    <t>ORD-01090</t>
  </si>
  <si>
    <t>ORD-01342</t>
  </si>
  <si>
    <t>ORD-00019</t>
  </si>
  <si>
    <t>ORD-00349</t>
  </si>
  <si>
    <t>ORD-01190</t>
  </si>
  <si>
    <t>ORD-00203</t>
  </si>
  <si>
    <t>ORD-00608</t>
  </si>
  <si>
    <t>ORD-01000</t>
  </si>
  <si>
    <t>ORD-00707</t>
  </si>
  <si>
    <t>ORD-00658</t>
  </si>
  <si>
    <t>ORD-00310</t>
  </si>
  <si>
    <t>ORD-00012</t>
  </si>
  <si>
    <t>ORD-01382</t>
  </si>
  <si>
    <t>ORD-00714</t>
  </si>
  <si>
    <t>ORD-01185</t>
  </si>
  <si>
    <t>ORD-00273</t>
  </si>
  <si>
    <t>ORD-01095</t>
  </si>
  <si>
    <t>ORD-00406</t>
  </si>
  <si>
    <t>ORD-00513</t>
  </si>
  <si>
    <t>ORD-00475</t>
  </si>
  <si>
    <t>ORD-00609</t>
  </si>
  <si>
    <t>ORD-00088</t>
  </si>
  <si>
    <t>ORD-00521</t>
  </si>
  <si>
    <t>ORD-01250</t>
  </si>
  <si>
    <t>ORD-00482</t>
  </si>
  <si>
    <t>ORD-00747</t>
  </si>
  <si>
    <t>ORD-01297</t>
  </si>
  <si>
    <t>ORD-00214</t>
  </si>
  <si>
    <t>ORD-00974</t>
  </si>
  <si>
    <t>ORD-01334</t>
  </si>
  <si>
    <t>ORD-00894</t>
  </si>
  <si>
    <t>ORD-00727</t>
  </si>
  <si>
    <t>ORD-01280</t>
  </si>
  <si>
    <t>ORD-01006</t>
  </si>
  <si>
    <t>ORD-01045</t>
  </si>
  <si>
    <t>ORD-01078</t>
  </si>
  <si>
    <t>ORD-00617</t>
  </si>
  <si>
    <t>ORD-00538</t>
  </si>
  <si>
    <t>ORD-01293</t>
  </si>
  <si>
    <t>ORD-00785</t>
  </si>
  <si>
    <t>ORD-00654</t>
  </si>
  <si>
    <t>ORD-00999</t>
  </si>
  <si>
    <t>ORD-00177</t>
  </si>
  <si>
    <t>ORD-00029</t>
  </si>
  <si>
    <t>ORD-00743</t>
  </si>
  <si>
    <t>ORD-01066</t>
  </si>
  <si>
    <t>ORD-00636</t>
  </si>
  <si>
    <t>ORD-01272</t>
  </si>
  <si>
    <t>ORD-00711</t>
  </si>
  <si>
    <t>ORD-01151</t>
  </si>
  <si>
    <t>ORD-00386</t>
  </si>
  <si>
    <t>ORD-00339</t>
  </si>
  <si>
    <t>ORD-01421</t>
  </si>
  <si>
    <t>ORD-00467</t>
  </si>
  <si>
    <t>ORD-00860</t>
  </si>
  <si>
    <t>ORD-00284</t>
  </si>
  <si>
    <t>ORD-00626</t>
  </si>
  <si>
    <t>ORD-01176</t>
  </si>
  <si>
    <t>ORD-00682</t>
  </si>
  <si>
    <t>ORD-00899</t>
  </si>
  <si>
    <t>ORD-01142</t>
  </si>
  <si>
    <t>ORD-00030</t>
  </si>
  <si>
    <t>ORD-00438</t>
  </si>
  <si>
    <t>ORD-00154</t>
  </si>
  <si>
    <t>ORD-00559</t>
  </si>
  <si>
    <t>ORD-00575</t>
  </si>
  <si>
    <t>ORD-00739</t>
  </si>
  <si>
    <t>ORD-00096</t>
  </si>
  <si>
    <t>ORD-00900</t>
  </si>
  <si>
    <t>ORD-00207</t>
  </si>
  <si>
    <t>ORD-01039</t>
  </si>
  <si>
    <t>ORD-00912</t>
  </si>
  <si>
    <t>ORD-00141</t>
  </si>
  <si>
    <t>ORD-01062</t>
  </si>
  <si>
    <t>ORD-00276</t>
  </si>
  <si>
    <t>ORD-00051</t>
  </si>
  <si>
    <t>ORD-00767</t>
  </si>
  <si>
    <t>ORD-00144</t>
  </si>
  <si>
    <t>ORD-00332</t>
  </si>
  <si>
    <t>ORD-00757</t>
  </si>
  <si>
    <t>ORD-00011</t>
  </si>
  <si>
    <t>ORD-00309</t>
  </si>
  <si>
    <t>ORD-01301</t>
  </si>
  <si>
    <t>ORD-00941</t>
  </si>
  <si>
    <t>ORD-00422</t>
  </si>
  <si>
    <t>ORD-00443</t>
  </si>
  <si>
    <t>ORD-00523</t>
  </si>
  <si>
    <t>ORD-01363</t>
  </si>
  <si>
    <t>ORD-01388</t>
  </si>
  <si>
    <t>ORD-00784</t>
  </si>
  <si>
    <t>ORD-00486</t>
  </si>
  <si>
    <t>ORD-00261</t>
  </si>
  <si>
    <t>ORD-01322</t>
  </si>
  <si>
    <t>ORD-01398</t>
  </si>
  <si>
    <t>ORD-00884</t>
  </si>
  <si>
    <t>ORD-00965</t>
  </si>
  <si>
    <t>ORD-00319</t>
  </si>
  <si>
    <t>ORD-00731</t>
  </si>
  <si>
    <t>ORD-00797</t>
  </si>
  <si>
    <t>ORD-01088</t>
  </si>
  <si>
    <t>ORD-01351</t>
  </si>
  <si>
    <t>ORD-01058</t>
  </si>
  <si>
    <t>ORD-00065</t>
  </si>
  <si>
    <t>ORD-01357</t>
  </si>
  <si>
    <t>ORD-01401</t>
  </si>
  <si>
    <t>ORD-01492</t>
  </si>
  <si>
    <t>ORD-00302</t>
  </si>
  <si>
    <t>ORD-00579</t>
  </si>
  <si>
    <t>ORD-00643</t>
  </si>
  <si>
    <t>ORD-01245</t>
  </si>
  <si>
    <t>ORD-00531</t>
  </si>
  <si>
    <t>ORD-01405</t>
  </si>
  <si>
    <t>ORD-01298</t>
  </si>
  <si>
    <t>ORD-00833</t>
  </si>
  <si>
    <t>ORD-01377</t>
  </si>
  <si>
    <t>ORD-00855</t>
  </si>
  <si>
    <t>ORD-00668</t>
  </si>
  <si>
    <t>ORD-00935</t>
  </si>
  <si>
    <t>ORD-01330</t>
  </si>
  <si>
    <t>ORD-00195</t>
  </si>
  <si>
    <t>ORD-01478</t>
  </si>
  <si>
    <t>ORD-01008</t>
  </si>
  <si>
    <t>ORD-01201</t>
  </si>
  <si>
    <t>ORD-01437</t>
  </si>
  <si>
    <t>ORD-01434</t>
  </si>
  <si>
    <t>ORD-00821</t>
  </si>
  <si>
    <t>ORD-00495</t>
  </si>
  <si>
    <t>ORD-00046</t>
  </si>
  <si>
    <t>ORD-00612</t>
  </si>
  <si>
    <t>ORD-00388</t>
  </si>
  <si>
    <t>ORD-00718</t>
  </si>
  <si>
    <t>ORD-00198</t>
  </si>
  <si>
    <t>ORD-01034</t>
  </si>
  <si>
    <t>ORD-00314</t>
  </si>
  <si>
    <t>ORD-00083</t>
  </si>
  <si>
    <t>ORD-01496</t>
  </si>
  <si>
    <t>ORD-00246</t>
  </si>
  <si>
    <t>ORD-01231</t>
  </si>
  <si>
    <t>ORD-00342</t>
  </si>
  <si>
    <t>ORD-00139</t>
  </si>
  <si>
    <t>ORD-00593</t>
  </si>
  <si>
    <t>ORD-00152</t>
  </si>
  <si>
    <t>ORD-00566</t>
  </si>
  <si>
    <t>ORD-01347</t>
  </si>
  <si>
    <t>ORD-00429</t>
  </si>
  <si>
    <t>ORD-00702</t>
  </si>
  <si>
    <t>ORD-01144</t>
  </si>
  <si>
    <t>ORD-00294</t>
  </si>
  <si>
    <t>ORD-00431</t>
  </si>
  <si>
    <t>ORD-00592</t>
  </si>
  <si>
    <t>ORD-00632</t>
  </si>
  <si>
    <t>ORD-00165</t>
  </si>
  <si>
    <t>ORD-00864</t>
  </si>
  <si>
    <t>ORD-00017</t>
  </si>
  <si>
    <t>ORD-01237</t>
  </si>
  <si>
    <t>ORD-00496</t>
  </si>
  <si>
    <t>ORD-00288</t>
  </si>
  <si>
    <t>ORD-01253</t>
  </si>
  <si>
    <t>ORD-01270</t>
  </si>
  <si>
    <t>ORD-01381</t>
  </si>
  <si>
    <t>ORD-00876</t>
  </si>
  <si>
    <t>ORD-00902</t>
  </si>
  <si>
    <t>ORD-01479</t>
  </si>
  <si>
    <t>ORD-00642</t>
  </si>
  <si>
    <t>ORD-00001</t>
  </si>
  <si>
    <t>ORD-00471</t>
  </si>
  <si>
    <t>ORD-00129</t>
  </si>
  <si>
    <t>ORD-00104</t>
  </si>
  <si>
    <t>ORD-00629</t>
  </si>
  <si>
    <t>ORD-00433</t>
  </si>
  <si>
    <t>ORD-00027</t>
  </si>
  <si>
    <t>ORD-01474</t>
  </si>
  <si>
    <t>ORD-00072</t>
  </si>
  <si>
    <t>ORD-01419</t>
  </si>
  <si>
    <t>ORD-01205</t>
  </si>
  <si>
    <t>ORD-01346</t>
  </si>
  <si>
    <t>ORD-00474</t>
  </si>
  <si>
    <t>ORD-01339</t>
  </si>
  <si>
    <t>ORD-01271</t>
  </si>
  <si>
    <t>ORD-00423</t>
  </si>
  <si>
    <t>ORD-00604</t>
  </si>
  <si>
    <t>ORD-01134</t>
  </si>
  <si>
    <t>ORD-01275</t>
  </si>
  <si>
    <t>ORD-00836</t>
  </si>
  <si>
    <t>ORD-00047</t>
  </si>
  <si>
    <t>ORD-00918</t>
  </si>
  <si>
    <t>ORD-01307</t>
  </si>
  <si>
    <t>ORD-00271</t>
  </si>
  <si>
    <t>ORD-01299</t>
  </si>
  <si>
    <t>ORD-00262</t>
  </si>
  <si>
    <t>ORD-00075</t>
  </si>
  <si>
    <t>ORD-00984</t>
  </si>
  <si>
    <t>ORD-00216</t>
  </si>
  <si>
    <t>ORD-01232</t>
  </si>
  <si>
    <t>ORD-01485</t>
  </si>
  <si>
    <t>ORD-01320</t>
  </si>
  <si>
    <t>ORD-00956</t>
  </si>
  <si>
    <t>ORD-00112</t>
  </si>
  <si>
    <t>ORD-00346</t>
  </si>
  <si>
    <t>ORD-00034</t>
  </si>
  <si>
    <t>ORD-00681</t>
  </si>
  <si>
    <t>ORD-00196</t>
  </si>
  <si>
    <t>ORD-00578</t>
  </si>
  <si>
    <t>ORD-00607</t>
  </si>
  <si>
    <t>ORD-00548</t>
  </si>
  <si>
    <t>ORD-00410</t>
  </si>
  <si>
    <t>ORD-00957</t>
  </si>
  <si>
    <t>ORD-01108</t>
  </si>
  <si>
    <t>ORD-00764</t>
  </si>
  <si>
    <t>ORD-00158</t>
  </si>
  <si>
    <t>ORD-00596</t>
  </si>
  <si>
    <t>ORD-00479</t>
  </si>
  <si>
    <t>ORD-00260</t>
  </si>
  <si>
    <t>ORD-00462</t>
  </si>
  <si>
    <t>ORD-00387</t>
  </si>
  <si>
    <t>ORD-00914</t>
  </si>
  <si>
    <t>ORD-01152</t>
  </si>
  <si>
    <t>ORD-00543</t>
  </si>
  <si>
    <t>ORD-00535</t>
  </si>
  <si>
    <t>ORD-00624</t>
  </si>
  <si>
    <t>ORD-01075</t>
  </si>
  <si>
    <t>ORD-01323</t>
  </si>
  <si>
    <t>ORD-00916</t>
  </si>
  <si>
    <t>ORD-00325</t>
  </si>
  <si>
    <t>ORD-00879</t>
  </si>
  <si>
    <t>ORD-00754</t>
  </si>
  <si>
    <t>ORD-01026</t>
  </si>
  <si>
    <t>ORD-00904</t>
  </si>
  <si>
    <t>ORD-00877</t>
  </si>
  <si>
    <t>ORD-00150</t>
  </si>
  <si>
    <t>ORD-00753</t>
  </si>
  <si>
    <t>ORD-01157</t>
  </si>
  <si>
    <t>ORD-00799</t>
  </si>
  <si>
    <t>ORD-00200</t>
  </si>
  <si>
    <t>ORD-00461</t>
  </si>
  <si>
    <t>ORD-00650</t>
  </si>
  <si>
    <t>ORD-01145</t>
  </si>
  <si>
    <t>ORD-00058</t>
  </si>
  <si>
    <t>ORD-00331</t>
  </si>
  <si>
    <t>ORD-01214</t>
  </si>
  <si>
    <t>ORD-01392</t>
  </si>
  <si>
    <t>ORD-00390</t>
  </si>
  <si>
    <t>ORD-01360</t>
  </si>
  <si>
    <t>ORD-00416</t>
  </si>
  <si>
    <t>ORD-00454</t>
  </si>
  <si>
    <t>ORD-00446</t>
  </si>
  <si>
    <t>ORD-00665</t>
  </si>
  <si>
    <t>ORD-00417</t>
  </si>
  <si>
    <t>ORD-00849</t>
  </si>
  <si>
    <t>ORD-00634</t>
  </si>
  <si>
    <t>ORD-01005</t>
  </si>
  <si>
    <t>ORD-01468</t>
  </si>
  <si>
    <t>ORD-01209</t>
  </si>
  <si>
    <t>ORD-00045</t>
  </si>
  <si>
    <t>ORD-01341</t>
  </si>
  <si>
    <t>ORD-00172</t>
  </si>
  <si>
    <t>ORD-00830</t>
  </si>
  <si>
    <t>ORD-01024</t>
  </si>
  <si>
    <t>ORD-01229</t>
  </si>
  <si>
    <t>ORD-01390</t>
  </si>
  <si>
    <t>ORD-01282</t>
  </si>
  <si>
    <t>ORD-00827</t>
  </si>
  <si>
    <t>ORD-01003</t>
  </si>
  <si>
    <t>ORD-01009</t>
  </si>
  <si>
    <t>ORD-00716</t>
  </si>
  <si>
    <t>ORD-01453</t>
  </si>
  <si>
    <t>ORD-00021</t>
  </si>
  <si>
    <t>ORD-00252</t>
  </si>
  <si>
    <t>ORD-00979</t>
  </si>
  <si>
    <t>ORD-01429</t>
  </si>
  <si>
    <t>ORD-00669</t>
  </si>
  <si>
    <t>ORD-00107</t>
  </si>
  <si>
    <t>ORD-01061</t>
  </si>
  <si>
    <t>ORD-01125</t>
  </si>
  <si>
    <t>ORD-01092</t>
  </si>
  <si>
    <t>ORD-00194</t>
  </si>
  <si>
    <t>ORD-00936</t>
  </si>
  <si>
    <t>ORD-00420</t>
  </si>
  <si>
    <t>ORD-00724</t>
  </si>
  <si>
    <t>ORD-00866</t>
  </si>
  <si>
    <t>ORD-00968</t>
  </si>
  <si>
    <t>ORD-00534</t>
  </si>
  <si>
    <t>ORD-00240</t>
  </si>
  <si>
    <t>ORD-01154</t>
  </si>
  <si>
    <t>ORD-01414</t>
  </si>
  <si>
    <t>ORD-00033</t>
  </si>
  <si>
    <t>ORD-01015</t>
  </si>
  <si>
    <t>ORD-01252</t>
  </si>
  <si>
    <t>ORD-00897</t>
  </si>
  <si>
    <t>ORD-01169</t>
  </si>
  <si>
    <t>ORD-00550</t>
  </si>
  <si>
    <t>ORD-00481</t>
  </si>
  <si>
    <t>ORD-00982</t>
  </si>
  <si>
    <t>ORD-01130</t>
  </si>
  <si>
    <t>ORD-00264</t>
  </si>
  <si>
    <t>ORD-00040</t>
  </si>
  <si>
    <t>ORD-00193</t>
  </si>
  <si>
    <t>ORD-01203</t>
  </si>
  <si>
    <t>ORD-00285</t>
  </si>
  <si>
    <t>ORD-00222</t>
  </si>
  <si>
    <t>ORD-01113</t>
  </si>
  <si>
    <t>ORD-00872</t>
  </si>
  <si>
    <t>ORD-01217</t>
  </si>
  <si>
    <t>ORD-00358</t>
  </si>
  <si>
    <t>ORD-00909</t>
  </si>
  <si>
    <t>ORD-01335</t>
  </si>
  <si>
    <t>ORD-00554</t>
  </si>
  <si>
    <t>ORD-00130</t>
  </si>
  <si>
    <t>ORD-00923</t>
  </si>
  <si>
    <t>ORD-00539</t>
  </si>
  <si>
    <t>ORD-00705</t>
  </si>
  <si>
    <t>ORD-00357</t>
  </si>
  <si>
    <t>ORD-00328</t>
  </si>
  <si>
    <t>ORD-01317</t>
  </si>
  <si>
    <t>ORD-01340</t>
  </si>
  <si>
    <t>ORD-01337</t>
  </si>
  <si>
    <t>ORD-00326</t>
  </si>
  <si>
    <t>ORD-00396</t>
  </si>
  <si>
    <t>ORD-01404</t>
  </si>
  <si>
    <t>ORD-00841</t>
  </si>
  <si>
    <t>ORD-00244</t>
  </si>
  <si>
    <t>ORD-00963</t>
  </si>
  <si>
    <t>ORD-01221</t>
  </si>
  <si>
    <t>ORD-01143</t>
  </si>
  <si>
    <t>ORD-00973</t>
  </si>
  <si>
    <t>ORD-00598</t>
  </si>
  <si>
    <t>ORD-01409</t>
  </si>
  <si>
    <t>ORD-01119</t>
  </si>
  <si>
    <t>ORD-00372</t>
  </si>
  <si>
    <t>ORD-00622</t>
  </si>
  <si>
    <t>ORD-00939</t>
  </si>
  <si>
    <t>ORD-00591</t>
  </si>
  <si>
    <t>ORD-01325</t>
  </si>
  <si>
    <t>ORD-00873</t>
  </si>
  <si>
    <t>ORD-00115</t>
  </si>
  <si>
    <t>ORD-00140</t>
  </si>
  <si>
    <t>ORD-01146</t>
  </si>
  <si>
    <t>ORD-00450</t>
  </si>
  <si>
    <t>ORD-01255</t>
  </si>
  <si>
    <t>ORD-01285</t>
  </si>
  <si>
    <t>ORD-00093</t>
  </si>
  <si>
    <t>ORD-00875</t>
  </si>
  <si>
    <t>ORD-00287</t>
  </si>
  <si>
    <t>ORD-00775</t>
  </si>
  <si>
    <t>ORD-01033</t>
  </si>
  <si>
    <t>ORD-00995</t>
  </si>
  <si>
    <t>ORD-01263</t>
  </si>
  <si>
    <t>ORD-00758</t>
  </si>
  <si>
    <t>ORD-01227</t>
  </si>
  <si>
    <t>ORD-00504</t>
  </si>
  <si>
    <t>ORD-01349</t>
  </si>
  <si>
    <t>ORD-00036</t>
  </si>
  <si>
    <t>ORD-00925</t>
  </si>
  <si>
    <t>ORD-01208</t>
  </si>
  <si>
    <t>ORD-00676</t>
  </si>
  <si>
    <t>ORD-00456</t>
  </si>
  <si>
    <t>ORD-00776</t>
  </si>
  <si>
    <t>ORD-00794</t>
  </si>
  <si>
    <t>ORD-00364</t>
  </si>
  <si>
    <t>ORD-00783</t>
  </si>
  <si>
    <t>ORD-00722</t>
  </si>
  <si>
    <t>ORD-00822</t>
  </si>
  <si>
    <t>ORD-01121</t>
  </si>
  <si>
    <t>ORD-01222</t>
  </si>
  <si>
    <t>ORD-01115</t>
  </si>
  <si>
    <t>ORD-01052</t>
  </si>
  <si>
    <t>ORD-01387</t>
  </si>
  <si>
    <t>ORD-01234</t>
  </si>
  <si>
    <t>ORD-01195</t>
  </si>
  <si>
    <t>ORD-00347</t>
  </si>
  <si>
    <t>ORD-01373</t>
  </si>
  <si>
    <t>ORD-00090</t>
  </si>
  <si>
    <t>ORD-00518</t>
  </si>
  <si>
    <t>ORD-01353</t>
  </si>
  <si>
    <t>ORD-00865</t>
  </si>
  <si>
    <t>ORD-01242</t>
  </si>
  <si>
    <t>ORD-00048</t>
  </si>
  <si>
    <t>ORD-00185</t>
  </si>
  <si>
    <t>ORD-01244</t>
  </si>
  <si>
    <t>ORD-00377</t>
  </si>
  <si>
    <t>ORD-01438</t>
  </si>
  <si>
    <t>ORD-00005</t>
  </si>
  <si>
    <t>ORD-00043</t>
  </si>
  <si>
    <t>ORD-00089</t>
  </si>
  <si>
    <t>ORD-00469</t>
  </si>
  <si>
    <t>ORD-01014</t>
  </si>
  <si>
    <t>ORD-00425</t>
  </si>
  <si>
    <t>ORD-00706</t>
  </si>
  <si>
    <t>ORD-01356</t>
  </si>
  <si>
    <t>ORD-00179</t>
  </si>
  <si>
    <t>ORD-00250</t>
  </si>
  <si>
    <t>ORD-01083</t>
  </si>
  <si>
    <t>ORD-00759</t>
  </si>
  <si>
    <t>ORD-00052</t>
  </si>
  <si>
    <t>ORD-01391</t>
  </si>
  <si>
    <t>ORD-00630</t>
  </si>
  <si>
    <t>ORD-00868</t>
  </si>
  <si>
    <t>ORD-00506</t>
  </si>
  <si>
    <t>ORD-01070</t>
  </si>
  <si>
    <t>ORD-00304</t>
  </si>
  <si>
    <t>ORD-00211</t>
  </si>
  <si>
    <t>ORD-00060</t>
  </si>
  <si>
    <t>ORD-00738</t>
  </si>
  <si>
    <t>ORD-00128</t>
  </si>
  <si>
    <t>ORD-00766</t>
  </si>
  <si>
    <t>ORD-00408</t>
  </si>
  <si>
    <t>ORD-00020</t>
  </si>
  <si>
    <t>ORD-00917</t>
  </si>
  <si>
    <t>ORD-01362</t>
  </si>
  <si>
    <t>ORD-00379</t>
  </si>
  <si>
    <t>ORD-00545</t>
  </si>
  <si>
    <t>ORD-00536</t>
  </si>
  <si>
    <t>ORD-00734</t>
  </si>
  <si>
    <t>ORD-00569</t>
  </si>
  <si>
    <t>ORD-01364</t>
  </si>
  <si>
    <t>ORD-00403</t>
  </si>
  <si>
    <t>ORD-01202</t>
  </si>
  <si>
    <t>ORD-00826</t>
  </si>
  <si>
    <t>ORD-01328</t>
  </si>
  <si>
    <t>ORD-00307</t>
  </si>
  <si>
    <t>ORD-01394</t>
  </si>
  <si>
    <t>ORD-01338</t>
  </si>
  <si>
    <t>ORD-00516</t>
  </si>
  <si>
    <t>ORD-00522</t>
  </si>
  <si>
    <t>ORD-01135</t>
  </si>
  <si>
    <t>ORD-01305</t>
  </si>
  <si>
    <t>ORD-01021</t>
  </si>
  <si>
    <t>ORD-00333</t>
  </si>
  <si>
    <t>ORD-00078</t>
  </si>
  <si>
    <t>ORD-00407</t>
  </si>
  <si>
    <t>ORD-00680</t>
  </si>
  <si>
    <t>ORD-00155</t>
  </si>
  <si>
    <t>ORD-00224</t>
  </si>
  <si>
    <t>ORD-00256</t>
  </si>
  <si>
    <t>ORD-01403</t>
  </si>
  <si>
    <t>ORD-01194</t>
  </si>
  <si>
    <t>ORD-01279</t>
  </si>
  <si>
    <t>ORD-00441</t>
  </si>
  <si>
    <t>ORD-00006</t>
  </si>
  <si>
    <t>ORD-00882</t>
  </si>
  <si>
    <t>ORD-00283</t>
  </si>
  <si>
    <t>ORD-00660</t>
  </si>
  <si>
    <t>ORD-00106</t>
  </si>
  <si>
    <t>ORD-01067</t>
  </si>
  <si>
    <t>ORD-00510</t>
  </si>
  <si>
    <t>ORD-00898</t>
  </si>
  <si>
    <t>ORD-00092</t>
  </si>
  <si>
    <t>ORD-00405</t>
  </si>
  <si>
    <t>ORD-00497</t>
  </si>
  <si>
    <t>ORD-00442</t>
  </si>
  <si>
    <t>ORD-00915</t>
  </si>
  <si>
    <t>ORD-00825</t>
  </si>
  <si>
    <t>ORD-00365</t>
  </si>
  <si>
    <t>ORD-01114</t>
  </si>
  <si>
    <t>ORD-00726</t>
  </si>
  <si>
    <t>ORD-00354</t>
  </si>
  <si>
    <t>ORD-00215</t>
  </si>
  <si>
    <t>ORD-00697</t>
  </si>
  <si>
    <t>ORD-01107</t>
  </si>
  <si>
    <t>ORD-01247</t>
  </si>
  <si>
    <t>ORD-00205</t>
  </si>
  <si>
    <t>ORD-01476</t>
  </si>
  <si>
    <t>ORD-00137</t>
  </si>
  <si>
    <t>ORD-00745</t>
  </si>
  <si>
    <t>ORD-00742</t>
  </si>
  <si>
    <t>ORD-01166</t>
  </si>
  <si>
    <t>ORD-01002</t>
  </si>
  <si>
    <t>ORD-01236</t>
  </si>
  <si>
    <t>ORD-00241</t>
  </si>
  <si>
    <t>ORD-00670</t>
  </si>
  <si>
    <t>ORD-00389</t>
  </si>
  <si>
    <t>ORD-01491</t>
  </si>
  <si>
    <t>ORD-00116</t>
  </si>
  <si>
    <t>ORD-01204</t>
  </si>
  <si>
    <t>ORD-00526</t>
  </si>
  <si>
    <t>ORD-00792</t>
  </si>
  <si>
    <t>ORD-00838</t>
  </si>
  <si>
    <t>ORD-01284</t>
  </si>
  <si>
    <t>ORD-01056</t>
  </si>
  <si>
    <t>ORD-01218</t>
  </si>
  <si>
    <t>ORD-00281</t>
  </si>
  <si>
    <t>ORD-00664</t>
  </si>
  <si>
    <t>ORD-01147</t>
  </si>
  <si>
    <t>ORD-00375</t>
  </si>
  <si>
    <t>ORD-00677</t>
  </si>
  <si>
    <t>ORD-00064</t>
  </si>
  <si>
    <t>ORD-01148</t>
  </si>
  <si>
    <t>ORD-01101</t>
  </si>
  <si>
    <t>ORD-00661</t>
  </si>
  <si>
    <t>ORD-01243</t>
  </si>
  <si>
    <t>ORD-00913</t>
  </si>
  <si>
    <t>ORD-00010</t>
  </si>
  <si>
    <t>ORD-00555</t>
  </si>
  <si>
    <t>ORD-01277</t>
  </si>
  <si>
    <t>ORD-00644</t>
  </si>
  <si>
    <t>ORD-01442</t>
  </si>
  <si>
    <t>ORD-00587</t>
  </si>
  <si>
    <t>ORD-01199</t>
  </si>
  <si>
    <t>ORD-01046</t>
  </si>
  <si>
    <t>ORD-01406</t>
  </si>
  <si>
    <t>ORD-00013</t>
  </si>
  <si>
    <t>ORD-00317</t>
  </si>
  <si>
    <t>ORD-00557</t>
  </si>
  <si>
    <t>ORD-00945</t>
  </si>
  <si>
    <t>ORD-00751</t>
  </si>
  <si>
    <t>ORD-00756</t>
  </si>
  <si>
    <t>ORD-00519</t>
  </si>
  <si>
    <t>ORD-00788</t>
  </si>
  <si>
    <t>ORD-01055</t>
  </si>
  <si>
    <t>ORD-00257</t>
  </si>
  <si>
    <t>ORD-00227</t>
  </si>
  <si>
    <t>ORD-00765</t>
  </si>
  <si>
    <t>ORD-01294</t>
  </si>
  <si>
    <t>ORD-00649</t>
  </si>
  <si>
    <t>ORD-00120</t>
  </si>
  <si>
    <t>ORD-00103</t>
  </si>
  <si>
    <t>ORD-00586</t>
  </si>
  <si>
    <t>ORD-01432</t>
  </si>
  <si>
    <t>ORD-00353</t>
  </si>
  <si>
    <t>ORD-00351</t>
  </si>
  <si>
    <t>ORD-01122</t>
  </si>
  <si>
    <t>ORD-00032</t>
  </si>
  <si>
    <t>ORD-00336</t>
  </si>
  <si>
    <t>ORD-01493</t>
  </si>
  <si>
    <t>ORD-00370</t>
  </si>
  <si>
    <t>ORD-00323</t>
  </si>
  <si>
    <t>ORD-01372</t>
  </si>
  <si>
    <t>ORD-01462</t>
  </si>
  <si>
    <t>ORD-00503</t>
  </si>
  <si>
    <t>ORD-00947</t>
  </si>
  <si>
    <t>ORD-01054</t>
  </si>
  <si>
    <t>ORD-01028</t>
  </si>
  <si>
    <t>ORD-00525</t>
  </si>
  <si>
    <t>ORD-01212</t>
  </si>
  <si>
    <t>ORD-01260</t>
  </si>
  <si>
    <t>ORD-00966</t>
  </si>
  <si>
    <t>ORD-00392</t>
  </si>
  <si>
    <t>ORD-00305</t>
  </si>
  <si>
    <t>ORD-00620</t>
  </si>
  <si>
    <t>ORD-00565</t>
  </si>
  <si>
    <t>ORD-00605</t>
  </si>
  <si>
    <t>ORD-01274</t>
  </si>
  <si>
    <t>ORD-00225</t>
  </si>
  <si>
    <t>ORD-00402</t>
  </si>
  <si>
    <t>ORD-01312</t>
  </si>
  <si>
    <t>ORD-01374</t>
  </si>
  <si>
    <t>ORD-00761</t>
  </si>
  <si>
    <t>ORD-00949</t>
  </si>
  <si>
    <t>ORD-01091</t>
  </si>
  <si>
    <t>ORD-01173</t>
  </si>
  <si>
    <t>ORD-00618</t>
  </si>
  <si>
    <t>ORD-01036</t>
  </si>
  <si>
    <t>ORD-00356</t>
  </si>
  <si>
    <t>ORD-00667</t>
  </si>
  <si>
    <t>ORD-00961</t>
  </si>
  <si>
    <t>ORD-00299</t>
  </si>
  <si>
    <t>ORD-00204</t>
  </si>
  <si>
    <t>ORD-00502</t>
  </si>
  <si>
    <t>ORD-01068</t>
  </si>
  <si>
    <t>ORD-00490</t>
  </si>
  <si>
    <t>ORD-00514</t>
  </si>
  <si>
    <t>ORD-00415</t>
  </si>
  <si>
    <t>ORD-00238</t>
  </si>
  <si>
    <t>ORD-01210</t>
  </si>
  <si>
    <t>ORD-00085</t>
  </si>
  <si>
    <t>ORD-00988</t>
  </si>
  <si>
    <t>ORD-00102</t>
  </si>
  <si>
    <t>ORD-01001</t>
  </si>
  <si>
    <t>ORD-00209</t>
  </si>
  <si>
    <t>ORD-00896</t>
  </si>
  <si>
    <t>ORD-00540</t>
  </si>
  <si>
    <t>ORD-00723</t>
  </si>
  <si>
    <t>ORD-00296</t>
  </si>
  <si>
    <t>ORD-00159</t>
  </si>
  <si>
    <t>ORD-00059</t>
  </si>
  <si>
    <t>ORD-00944</t>
  </si>
  <si>
    <t>ORD-00542</t>
  </si>
  <si>
    <t>ORD-00696</t>
  </si>
  <si>
    <t>ORD-01311</t>
  </si>
  <si>
    <t>ORD-00279</t>
  </si>
  <si>
    <t>ORD-00805</t>
  </si>
  <si>
    <t>ORD-00235</t>
  </si>
  <si>
    <t>ORD-00412</t>
  </si>
  <si>
    <t>ORD-00791</t>
  </si>
  <si>
    <t>ORD-00937</t>
  </si>
  <si>
    <t>ORD-01192</t>
  </si>
  <si>
    <t>ORD-00041</t>
  </si>
  <si>
    <t>ORD-01086</t>
  </si>
  <si>
    <t>ORD-00411</t>
  </si>
  <si>
    <t>ORD-01480</t>
  </si>
  <si>
    <t>ORD-01302</t>
  </si>
  <si>
    <t>ORD-00282</t>
  </si>
  <si>
    <t>ORD-01266</t>
  </si>
  <si>
    <t>ORD-00186</t>
  </si>
  <si>
    <t>ORD-00737</t>
  </si>
  <si>
    <t>ORD-01213</t>
  </si>
  <si>
    <t>ORD-00919</t>
  </si>
  <si>
    <t>ORD-01321</t>
  </si>
  <si>
    <t>ORD-01300</t>
  </si>
  <si>
    <t>ORD-00746</t>
  </si>
  <si>
    <t>ORD-01482</t>
  </si>
  <si>
    <t>ORD-01158</t>
  </si>
  <si>
    <t>ORD-00275</t>
  </si>
  <si>
    <t>ORD-00329</t>
  </si>
  <si>
    <t>ORD-01167</t>
  </si>
  <si>
    <t>ORD-00483</t>
  </si>
  <si>
    <t>ORD-00713</t>
  </si>
  <si>
    <t>ORD-00692</t>
  </si>
  <si>
    <t>ORD-00274</t>
  </si>
  <si>
    <t>ORD-00885</t>
  </si>
  <si>
    <t>ORD-01473</t>
  </si>
  <si>
    <t>ORD-00176</t>
  </si>
  <si>
    <t>ORD-01137</t>
  </si>
  <si>
    <t>ORD-00603</t>
  </si>
  <si>
    <t>ORD-00736</t>
  </si>
  <si>
    <t>ORD-01281</t>
  </si>
  <si>
    <t>ORD-00602</t>
  </si>
  <si>
    <t>ORD-00068</t>
  </si>
  <si>
    <t>ORD-00906</t>
  </si>
  <si>
    <t>ORD-00856</t>
  </si>
  <si>
    <t>ORD-00191</t>
  </si>
  <si>
    <t>ORD-01500</t>
  </si>
  <si>
    <t>ORD-00631</t>
  </si>
  <si>
    <t>ORD-01079</t>
  </si>
  <si>
    <t>ORD-00499</t>
  </si>
  <si>
    <t>ORD-01413</t>
  </si>
  <si>
    <t>ORD-01489</t>
  </si>
  <si>
    <t>ORD-00484</t>
  </si>
  <si>
    <t>ORD-00998</t>
  </si>
  <si>
    <t>ORD-01156</t>
  </si>
  <si>
    <t>ORD-00148</t>
  </si>
  <si>
    <t>ORD-00243</t>
  </si>
  <si>
    <t>ORD-00871</t>
  </si>
  <si>
    <t>ORD-00084</t>
  </si>
  <si>
    <t>ORD-00206</t>
  </si>
  <si>
    <t>ORD-01278</t>
  </si>
  <si>
    <t>ORD-00987</t>
  </si>
  <si>
    <t>ORD-01498</t>
  </si>
  <si>
    <t>ORD-00418</t>
  </si>
  <si>
    <t>ORD-00892</t>
  </si>
  <si>
    <t>ORD-01111</t>
  </si>
  <si>
    <t>ORD-00834</t>
  </si>
  <si>
    <t>ORD-00637</t>
  </si>
  <si>
    <t>ORD-00404</t>
  </si>
  <si>
    <t>ORD-01200</t>
  </si>
  <si>
    <t>ORD-00098</t>
  </si>
  <si>
    <t>ORD-00111</t>
  </si>
  <si>
    <t>ORD-00350</t>
  </si>
  <si>
    <t>ORD-00568</t>
  </si>
  <si>
    <t>ORD-00769</t>
  </si>
  <si>
    <t>ORD-00424</t>
  </si>
  <si>
    <t>ORD-00477</t>
  </si>
  <si>
    <t>ORD-01452</t>
  </si>
  <si>
    <t>ORD-00099</t>
  </si>
  <si>
    <t>ORD-00922</t>
  </si>
  <si>
    <t>ORD-01076</t>
  </si>
  <si>
    <t>ORD-00298</t>
  </si>
  <si>
    <t>ORD-00451</t>
  </si>
  <si>
    <t>ORD-00732</t>
  </si>
  <si>
    <t>ORD-00367</t>
  </si>
  <si>
    <t>ORD-01460</t>
  </si>
  <si>
    <t>ORD-00025</t>
  </si>
  <si>
    <t>ORD-00795</t>
  </si>
  <si>
    <t>ORD-00062</t>
  </si>
  <si>
    <t>ORD-00121</t>
  </si>
  <si>
    <t>ORD-01451</t>
  </si>
  <si>
    <t>ORD-00003</t>
  </si>
  <si>
    <t>ORD-01131</t>
  </si>
  <si>
    <t>ORD-01336</t>
  </si>
  <si>
    <t>ORD-00831</t>
  </si>
  <si>
    <t>ORD-00800</t>
  </si>
  <si>
    <t>ORD-00426</t>
  </si>
  <si>
    <t>ORD-01446</t>
  </si>
  <si>
    <t>ORD-00067</t>
  </si>
  <si>
    <t>ORD-01080</t>
  </si>
  <si>
    <t>ORD-00330</t>
  </si>
  <si>
    <t>ORD-00393</t>
  </si>
  <si>
    <t>ORD-01458</t>
  </si>
  <si>
    <t>ORD-00927</t>
  </si>
  <si>
    <t>ORD-00895</t>
  </si>
  <si>
    <t>ORD-01355</t>
  </si>
  <si>
    <t>ORD-01439</t>
  </si>
  <si>
    <t>ORD-00306</t>
  </si>
  <si>
    <t>ORD-01223</t>
  </si>
  <si>
    <t>ORD-00234</t>
  </si>
  <si>
    <t>ORD-01188</t>
  </si>
  <si>
    <t>ORD-00567</t>
  </si>
  <si>
    <t>ORD-00453</t>
  </si>
  <si>
    <t>ORD-00656</t>
  </si>
  <si>
    <t>ORD-00641</t>
  </si>
  <si>
    <t>ORD-01109</t>
  </si>
  <si>
    <t>ORD-00891</t>
  </si>
  <si>
    <t>ORD-00910</t>
  </si>
  <si>
    <t>ORD-00580</t>
  </si>
  <si>
    <t>ORD-00595</t>
  </si>
  <si>
    <t>ORD-00695</t>
  </si>
  <si>
    <t>ORD-00572</t>
  </si>
  <si>
    <t>ORD-00118</t>
  </si>
  <si>
    <t>ORD-00391</t>
  </si>
  <si>
    <t>ORD-01112</t>
  </si>
  <si>
    <t>ORD-01029</t>
  </si>
  <si>
    <t>ORD-00813</t>
  </si>
  <si>
    <t>ORD-00162</t>
  </si>
  <si>
    <t>ORD-00181</t>
  </si>
  <si>
    <t>ORD-01126</t>
  </si>
  <si>
    <t>ORD-01042</t>
  </si>
  <si>
    <t>ORD-00265</t>
  </si>
  <si>
    <t>ORD-00787</t>
  </si>
  <si>
    <t>ORD-01259</t>
  </si>
  <si>
    <t>ORD-00959</t>
  </si>
  <si>
    <t>ORD-00972</t>
  </si>
  <si>
    <t>ORD-01093</t>
  </si>
  <si>
    <t>ORD-00269</t>
  </si>
  <si>
    <t>ORD-00399</t>
  </si>
  <si>
    <t>ORD-01230</t>
  </si>
  <si>
    <t>ORD-00022</t>
  </si>
  <si>
    <t>ORD-00549</t>
  </si>
  <si>
    <t>ORD-00806</t>
  </si>
  <si>
    <t>ORD-01310</t>
  </si>
  <si>
    <t>ORD-00721</t>
  </si>
  <si>
    <t>ORD-00638</t>
  </si>
  <si>
    <t>ORD-00164</t>
  </si>
  <si>
    <t>ORD-00699</t>
  </si>
  <si>
    <t>ORD-00439</t>
  </si>
  <si>
    <t>ORD-00133</t>
  </si>
  <si>
    <t>ORD-01097</t>
  </si>
  <si>
    <t>ORD-00463</t>
  </si>
  <si>
    <t>ORD-00793</t>
  </si>
  <si>
    <t>ORD-00263</t>
  </si>
  <si>
    <t>ORD-00397</t>
  </si>
  <si>
    <t>ORD-01348</t>
  </si>
  <si>
    <t>ORD-00577</t>
  </si>
  <si>
    <t>ORD-00687</t>
  </si>
  <si>
    <t>ORD-01467</t>
  </si>
  <si>
    <t>ORD-00842</t>
  </si>
  <si>
    <t>ORD-00376</t>
  </si>
  <si>
    <t>ORD-01449</t>
  </si>
  <si>
    <t>ORD-00981</t>
  </si>
  <si>
    <t>ORD-01497</t>
  </si>
  <si>
    <t>ORD-00151</t>
  </si>
  <si>
    <t>ORD-01038</t>
  </si>
  <si>
    <t>ORD-00789</t>
  </si>
  <si>
    <t>ORD-00570</t>
  </si>
  <si>
    <t>ORD-00383</t>
  </si>
  <si>
    <t>ORD-00627</t>
  </si>
  <si>
    <t>ORD-01020</t>
  </si>
  <si>
    <t>ORD-00210</t>
  </si>
  <si>
    <t>ORD-00231</t>
  </si>
  <si>
    <t>ORD-00465</t>
  </si>
  <si>
    <t>ORD-01343</t>
  </si>
  <si>
    <t>ORD-00266</t>
  </si>
  <si>
    <t>ORD-00487</t>
  </si>
  <si>
    <t>ORD-01063</t>
  </si>
  <si>
    <t>ORD-01483</t>
  </si>
  <si>
    <t>ORD-00694</t>
  </si>
  <si>
    <t>ORD-00951</t>
  </si>
  <si>
    <t>ORD-00929</t>
  </si>
  <si>
    <t>ORD-00993</t>
  </si>
  <si>
    <t>ORD-01386</t>
  </si>
  <si>
    <t>ORD-00798</t>
  </si>
  <si>
    <t>ORD-00571</t>
  </si>
  <si>
    <t>ORD-00690</t>
  </si>
  <si>
    <t>ORD-00547</t>
  </si>
  <si>
    <t>ORD-00335</t>
  </si>
  <si>
    <t>ORD-01379</t>
  </si>
  <si>
    <t>ORD-00322</t>
  </si>
  <si>
    <t>ORD-01241</t>
  </si>
  <si>
    <t>ORD-01170</t>
  </si>
  <si>
    <t>ORD-01395</t>
  </si>
  <si>
    <t>ORD-01124</t>
  </si>
  <si>
    <t>ORD-01206</t>
  </si>
  <si>
    <t>ORD-01168</t>
  </si>
  <si>
    <t>ORD-01187</t>
  </si>
  <si>
    <t>ORD-01019</t>
  </si>
  <si>
    <t>ORD-01393</t>
  </si>
  <si>
    <t>ORD-00810</t>
  </si>
  <si>
    <t>ORD-01332</t>
  </si>
  <si>
    <t>ORD-01292</t>
  </si>
  <si>
    <t>ORD-00725</t>
  </si>
  <si>
    <t>ORD-01490</t>
  </si>
  <si>
    <t>ORD-00623</t>
  </si>
  <si>
    <t>ORD-00188</t>
  </si>
  <si>
    <t>ORD-00771</t>
  </si>
  <si>
    <t>ORD-01397</t>
  </si>
  <si>
    <t>ORD-00254</t>
  </si>
  <si>
    <t>ORD-00355</t>
  </si>
  <si>
    <t>ORD-00313</t>
  </si>
  <si>
    <t>ORD-00969</t>
  </si>
  <si>
    <t>ORD-00053</t>
  </si>
  <si>
    <t>ORD-00934</t>
  </si>
  <si>
    <t>ORD-01233</t>
  </si>
  <si>
    <t>ORD-00509</t>
  </si>
  <si>
    <t>ORD-00127</t>
  </si>
  <si>
    <t>ORD-00651</t>
  </si>
  <si>
    <t>ORD-01043</t>
  </si>
  <si>
    <t>ORD-00675</t>
  </si>
  <si>
    <t>ORD-01069</t>
  </si>
  <si>
    <t>ORD-01326</t>
  </si>
  <si>
    <t>ORD-01177</t>
  </si>
  <si>
    <t>ORD-00166</t>
  </si>
  <si>
    <t>ORD-01408</t>
  </si>
  <si>
    <t>ORD-00169</t>
  </si>
  <si>
    <t>ORD-00436</t>
  </si>
  <si>
    <t>ORD-00597</t>
  </si>
  <si>
    <t>ORD-01287</t>
  </si>
  <si>
    <t>ORD-00824</t>
  </si>
  <si>
    <t>ORD-00804</t>
  </si>
  <si>
    <t>ORD-00815</t>
  </si>
  <si>
    <t>ORD-00079</t>
  </si>
  <si>
    <t>ORD-01133</t>
  </si>
  <si>
    <t>ORD-00368</t>
  </si>
  <si>
    <t>ORD-00970</t>
  </si>
  <si>
    <t>ORD-00156</t>
  </si>
  <si>
    <t>ORD-00097</t>
  </si>
  <si>
    <t>ORD-01436</t>
  </si>
  <si>
    <t>ORD-00975</t>
  </si>
  <si>
    <t>ORD-00556</t>
  </si>
  <si>
    <t>ORD-00337</t>
  </si>
  <si>
    <t>ORD-00026</t>
  </si>
  <si>
    <t>ORD-00308</t>
  </si>
  <si>
    <t>ORD-00187</t>
  </si>
  <si>
    <t>ORD-00378</t>
  </si>
  <si>
    <t>ORD-00183</t>
  </si>
  <si>
    <t>ORD-00171</t>
  </si>
  <si>
    <t>ORD-01016</t>
  </si>
  <si>
    <t>ORD-00208</t>
  </si>
  <si>
    <t>ORD-01198</t>
  </si>
  <si>
    <t>ORD-01415</t>
  </si>
  <si>
    <t>ORD-01030</t>
  </si>
  <si>
    <t>ORD-00752</t>
  </si>
  <si>
    <t>ORD-00685</t>
  </si>
  <si>
    <t>ORD-00652</t>
  </si>
  <si>
    <t>ORD-00124</t>
  </si>
  <si>
    <t>ORD-01207</t>
  </si>
  <si>
    <t>ORD-00125</t>
  </si>
  <si>
    <t>ORD-00940</t>
  </si>
  <si>
    <t>ORD-01283</t>
  </si>
  <si>
    <t>ORD-01064</t>
  </si>
  <si>
    <t>ORD-01412</t>
  </si>
  <si>
    <t>ORD-01265</t>
  </si>
  <si>
    <t>ORD-00384</t>
  </si>
  <si>
    <t>ORD-00948</t>
  </si>
  <si>
    <t>ORD-01455</t>
  </si>
  <si>
    <t>ORD-01359</t>
  </si>
  <si>
    <t>ORD-01136</t>
  </si>
  <si>
    <t>ORD-00409</t>
  </si>
  <si>
    <t>ORD-00468</t>
  </si>
  <si>
    <t>ORD-01023</t>
  </si>
  <si>
    <t>ORD-00251</t>
  </si>
  <si>
    <t>ORD-01025</t>
  </si>
  <si>
    <t>ORD-00780</t>
  </si>
  <si>
    <t>ORD-01181</t>
  </si>
  <si>
    <t>ORD-00292</t>
  </si>
  <si>
    <t>ORD-00928</t>
  </si>
  <si>
    <t>ORD-00432</t>
  </si>
  <si>
    <t>ORD-00024</t>
  </si>
  <si>
    <t>ORD-00242</t>
  </si>
  <si>
    <t>ORD-00560</t>
  </si>
  <si>
    <t>ORD-01399</t>
  </si>
  <si>
    <t>ORD-00108</t>
  </si>
  <si>
    <t>ORD-01461</t>
  </si>
  <si>
    <t>ORD-00277</t>
  </si>
  <si>
    <t>ORD-00217</t>
  </si>
  <si>
    <t>ORD-00015</t>
  </si>
  <si>
    <t>ORD-01428</t>
  </si>
  <si>
    <t>ORD-01327</t>
  </si>
  <si>
    <t>ORD-00532</t>
  </si>
  <si>
    <t>ORD-00348</t>
  </si>
  <si>
    <t>ORD-00887</t>
  </si>
  <si>
    <t>ORD-00401</t>
  </si>
  <si>
    <t>ORD-00132</t>
  </si>
  <si>
    <t>ORD-00640</t>
  </si>
  <si>
    <t>ORD-01267</t>
  </si>
  <si>
    <t>ORD-00289</t>
  </si>
  <si>
    <t>ORD-00749</t>
  </si>
  <si>
    <t>ORD-00991</t>
  </si>
  <si>
    <t>ORD-00588</t>
  </si>
  <si>
    <t>ORD-00678</t>
  </si>
  <si>
    <t>ORD-01477</t>
  </si>
  <si>
    <t>ORD-00562</t>
  </si>
  <si>
    <t>ORD-00385</t>
  </si>
  <si>
    <t>ORD-01484</t>
  </si>
  <si>
    <t>ORD-00931</t>
  </si>
  <si>
    <t>ORD-00740</t>
  </si>
  <si>
    <t>ORD-00829</t>
  </si>
  <si>
    <t>ORD-01291</t>
  </si>
  <si>
    <t>ORD-00744</t>
  </si>
  <si>
    <t>ORD-00659</t>
  </si>
  <si>
    <t>ORD-01254</t>
  </si>
  <si>
    <t>ORD-00321</t>
  </si>
  <si>
    <t>ORD-01197</t>
  </si>
  <si>
    <t>ORD-00344</t>
  </si>
  <si>
    <t>ORD-00280</t>
  </si>
  <si>
    <t>ORD-01164</t>
  </si>
  <si>
    <t>ORD-01487</t>
  </si>
  <si>
    <t>ORD-00903</t>
  </si>
  <si>
    <t>ORD-01369</t>
  </si>
  <si>
    <t>ORD-01246</t>
  </si>
  <si>
    <t>ORD-00457</t>
  </si>
  <si>
    <t>ORD-00693</t>
  </si>
  <si>
    <t>ORD-01077</t>
  </si>
  <si>
    <t>ORD-01383</t>
  </si>
  <si>
    <t>ORD-00229</t>
  </si>
  <si>
    <t>ORD-00055</t>
  </si>
  <si>
    <t>ORD-00818</t>
  </si>
  <si>
    <t>ORD-01013</t>
  </si>
  <si>
    <t>ORD-00770</t>
  </si>
  <si>
    <t>ORD-00601</t>
  </si>
  <si>
    <t>ORD-01193</t>
  </si>
  <si>
    <t>ORD-00434</t>
  </si>
  <si>
    <t>ORD-00779</t>
  </si>
  <si>
    <t>ORD-00594</t>
  </si>
  <si>
    <t>ORD-01418</t>
  </si>
  <si>
    <t>ORD-00478</t>
  </si>
  <si>
    <t>ORD-01161</t>
  </si>
  <si>
    <t>ORD-00258</t>
  </si>
  <si>
    <t>ORD-00933</t>
  </si>
  <si>
    <t>ORD-01087</t>
  </si>
  <si>
    <t>ORD-00473</t>
  </si>
  <si>
    <t>ORD-00419</t>
  </si>
  <si>
    <t>ORD-00315</t>
  </si>
  <si>
    <t>ORD-00777</t>
  </si>
  <si>
    <t>ORD-00361</t>
  </si>
  <si>
    <t>ORD-01380</t>
  </si>
  <si>
    <t>ORD-00773</t>
  </si>
  <si>
    <t>ORD-00803</t>
  </si>
  <si>
    <t>ORD-01155</t>
  </si>
  <si>
    <t>ORD-01100</t>
  </si>
  <si>
    <t>ORD-01329</t>
  </si>
  <si>
    <t>ORD-00138</t>
  </si>
  <si>
    <t>ORD-00921</t>
  </si>
  <si>
    <t>ORD-00874</t>
  </si>
  <si>
    <t>ORD-00890</t>
  </si>
  <si>
    <t>ORD-00807</t>
  </si>
  <si>
    <t>ORD-01256</t>
  </si>
  <si>
    <t>ORD-00505</t>
  </si>
  <si>
    <t>ORD-00489</t>
  </si>
  <si>
    <t>ORD-00863</t>
  </si>
  <si>
    <t>ORD-00610</t>
  </si>
  <si>
    <t>ORD-00952</t>
  </si>
  <si>
    <t>ORD-01276</t>
  </si>
  <si>
    <t>ORD-00400</t>
  </si>
  <si>
    <t>ORD-00105</t>
  </si>
  <si>
    <t>ORD-00679</t>
  </si>
  <si>
    <t>ORD-00363</t>
  </si>
  <si>
    <t>ORD-00293</t>
  </si>
  <si>
    <t>ORD-00672</t>
  </si>
  <si>
    <t>ORD-00840</t>
  </si>
  <si>
    <t>ORD-00259</t>
  </si>
  <si>
    <t>ORD-00380</t>
  </si>
  <si>
    <t>ORD-01027</t>
  </si>
  <si>
    <t>ORD-01261</t>
  </si>
  <si>
    <t>ORD-01318</t>
  </si>
  <si>
    <t>ORD-00901</t>
  </si>
  <si>
    <t>ORD-00080</t>
  </si>
  <si>
    <t>ORD-01059</t>
  </si>
  <si>
    <t>ORD-01032</t>
  </si>
  <si>
    <t>ORD-00157</t>
  </si>
  <si>
    <t>ORD-00729</t>
  </si>
  <si>
    <t>ORD-00110</t>
  </si>
  <si>
    <t>ORD-00958</t>
  </si>
  <si>
    <t>ORD-00016</t>
  </si>
  <si>
    <t>ORD-00977</t>
  </si>
  <si>
    <t>ORD-00823</t>
  </si>
  <si>
    <t>ORD-01481</t>
  </si>
  <si>
    <t>ORD-00374</t>
  </si>
  <si>
    <t>ORD-00147</t>
  </si>
  <si>
    <t>ORD-00174</t>
  </si>
  <si>
    <t>ORD-01314</t>
  </si>
  <si>
    <t>ORD-00360</t>
  </si>
  <si>
    <t>ORD-01022</t>
  </si>
  <si>
    <t>ORD-01435</t>
  </si>
  <si>
    <t>ORD-00114</t>
  </si>
  <si>
    <t>ORD-01065</t>
  </si>
  <si>
    <t>ORD-00449</t>
  </si>
  <si>
    <t>ORD-00488</t>
  </si>
  <si>
    <t>ORD-00239</t>
  </si>
  <si>
    <t>ORD-00470</t>
  </si>
  <si>
    <t>ORD-01189</t>
  </si>
  <si>
    <t>ORD-00221</t>
  </si>
  <si>
    <t>ORD-01162</t>
  </si>
  <si>
    <t>ORD-00816</t>
  </si>
  <si>
    <t>ORD-00398</t>
  </si>
  <si>
    <t>ORD-00511</t>
  </si>
  <si>
    <t>ORD-00561</t>
  </si>
  <si>
    <t>ORD-00182</t>
  </si>
  <si>
    <t>ORD-00888</t>
  </si>
  <si>
    <t>ORD-00989</t>
  </si>
  <si>
    <t>ORD-01368</t>
  </si>
  <si>
    <t>ORD-00553</t>
  </si>
  <si>
    <t>ORD-00802</t>
  </si>
  <si>
    <t>ORD-01017</t>
  </si>
  <si>
    <t>ORD-01416</t>
  </si>
  <si>
    <t>ORD-00635</t>
  </si>
  <si>
    <t>ORD-01333</t>
  </si>
  <si>
    <t>ORD-00091</t>
  </si>
  <si>
    <t>ORD-01450</t>
  </si>
  <si>
    <t>ORD-01470</t>
  </si>
  <si>
    <t>ORD-00976</t>
  </si>
  <si>
    <t>ORD-01316</t>
  </si>
  <si>
    <t>ORD-00077</t>
  </si>
  <si>
    <t>ORD-00573</t>
  </si>
  <si>
    <t>ORD-00796</t>
  </si>
  <si>
    <t>ORD-00674</t>
  </si>
  <si>
    <t>ORD-01268</t>
  </si>
  <si>
    <t>ORD-00524</t>
  </si>
  <si>
    <t>ORD-01422</t>
  </si>
  <si>
    <t>ORD-00245</t>
  </si>
  <si>
    <t>ORD-00847</t>
  </si>
  <si>
    <t>ORD-01290</t>
  </si>
  <si>
    <t>ORD-01309</t>
  </si>
  <si>
    <t>ORD-01273</t>
  </si>
  <si>
    <t>ORD-00009</t>
  </si>
  <si>
    <t>ORD-00552</t>
  </si>
  <si>
    <t>ORD-01127</t>
  </si>
  <si>
    <t>ORD-01004</t>
  </si>
  <si>
    <t>ORD-01296</t>
  </si>
  <si>
    <t>ORD-00076</t>
  </si>
  <si>
    <t>ORD-00359</t>
  </si>
  <si>
    <t>ORD-01289</t>
  </si>
  <si>
    <t>ORD-00954</t>
  </si>
  <si>
    <t>ORD-00615</t>
  </si>
  <si>
    <t>ORD-01457</t>
  </si>
  <si>
    <t>ORD-00600</t>
  </si>
  <si>
    <t>ORD-01035</t>
  </si>
  <si>
    <t>ORD-01475</t>
  </si>
  <si>
    <t>ORD-00599</t>
  </si>
  <si>
    <t>ORD-00709</t>
  </si>
  <si>
    <t>ORD-00272</t>
  </si>
  <si>
    <t>ORD-01249</t>
  </si>
  <si>
    <t>ORD-00345</t>
  </si>
  <si>
    <t>ORD-00042</t>
  </si>
  <si>
    <t>ORD-00541</t>
  </si>
  <si>
    <t>ORD-00190</t>
  </si>
  <si>
    <t>ORD-01117</t>
  </si>
  <si>
    <t>ORD-00095</t>
  </si>
  <si>
    <t>ORD-00883</t>
  </si>
  <si>
    <t>ORD-00950</t>
  </si>
  <si>
    <t>ORD-00851</t>
  </si>
  <si>
    <t>ORD-01423</t>
  </si>
  <si>
    <t>CUST-0235</t>
  </si>
  <si>
    <t>CUST-0173</t>
  </si>
  <si>
    <t>CUST-0195</t>
  </si>
  <si>
    <t>CUST-0190</t>
  </si>
  <si>
    <t>CUST-0080</t>
  </si>
  <si>
    <t>CUST-0114</t>
  </si>
  <si>
    <t>CUST-0061</t>
  </si>
  <si>
    <t>CUST-0052</t>
  </si>
  <si>
    <t>CUST-0082</t>
  </si>
  <si>
    <t>CUST-0178</t>
  </si>
  <si>
    <t>CUST-0255</t>
  </si>
  <si>
    <t>CUST-0026</t>
  </si>
  <si>
    <t>CUST-0170</t>
  </si>
  <si>
    <t>CUST-0025</t>
  </si>
  <si>
    <t>CUST-0188</t>
  </si>
  <si>
    <t>CUST-0290</t>
  </si>
  <si>
    <t>CUST-0071</t>
  </si>
  <si>
    <t>CUST-0282</t>
  </si>
  <si>
    <t>CUST-0147</t>
  </si>
  <si>
    <t>CUST-0199</t>
  </si>
  <si>
    <t>CUST-0263</t>
  </si>
  <si>
    <t>CUST-0219</t>
  </si>
  <si>
    <t>CUST-0280</t>
  </si>
  <si>
    <t>CUST-0042</t>
  </si>
  <si>
    <t>CUST-0049</t>
  </si>
  <si>
    <t>CUST-0112</t>
  </si>
  <si>
    <t>CUST-0097</t>
  </si>
  <si>
    <t>CUST-0242</t>
  </si>
  <si>
    <t>CUST-0032</t>
  </si>
  <si>
    <t>CUST-0168</t>
  </si>
  <si>
    <t>CUST-0063</t>
  </si>
  <si>
    <t>CUST-0273</t>
  </si>
  <si>
    <t>CUST-0140</t>
  </si>
  <si>
    <t>CUST-0111</t>
  </si>
  <si>
    <t>CUST-0004</t>
  </si>
  <si>
    <t>CUST-0047</t>
  </si>
  <si>
    <t>CUST-0271</t>
  </si>
  <si>
    <t>CUST-0198</t>
  </si>
  <si>
    <t>CUST-0243</t>
  </si>
  <si>
    <t>CUST-0240</t>
  </si>
  <si>
    <t>CUST-0157</t>
  </si>
  <si>
    <t>CUST-0276</t>
  </si>
  <si>
    <t>CUST-0136</t>
  </si>
  <si>
    <t>CUST-0258</t>
  </si>
  <si>
    <t>CUST-0118</t>
  </si>
  <si>
    <t>CUST-0110</t>
  </si>
  <si>
    <t>CUST-0270</t>
  </si>
  <si>
    <t>CUST-0018</t>
  </si>
  <si>
    <t>CUST-0084</t>
  </si>
  <si>
    <t>CUST-0203</t>
  </si>
  <si>
    <t>CUST-0053</t>
  </si>
  <si>
    <t>CUST-0214</t>
  </si>
  <si>
    <t>CUST-0218</t>
  </si>
  <si>
    <t>CUST-0104</t>
  </si>
  <si>
    <t>CUST-0105</t>
  </si>
  <si>
    <t>CUST-0011</t>
  </si>
  <si>
    <t>CUST-0245</t>
  </si>
  <si>
    <t>CUST-0069</t>
  </si>
  <si>
    <t>CUST-0072</t>
  </si>
  <si>
    <t>CUST-0139</t>
  </si>
  <si>
    <t>CUST-0015</t>
  </si>
  <si>
    <t>CUST-0101</t>
  </si>
  <si>
    <t>CUST-0113</t>
  </si>
  <si>
    <t>CUST-0142</t>
  </si>
  <si>
    <t>CUST-0228</t>
  </si>
  <si>
    <t>CUST-0200</t>
  </si>
  <si>
    <t>CUST-0144</t>
  </si>
  <si>
    <t>CUST-0210</t>
  </si>
  <si>
    <t>CUST-0102</t>
  </si>
  <si>
    <t>CUST-0208</t>
  </si>
  <si>
    <t>CUST-0022</t>
  </si>
  <si>
    <t>CUST-0163</t>
  </si>
  <si>
    <t>CUST-0250</t>
  </si>
  <si>
    <t>CUST-0251</t>
  </si>
  <si>
    <t>CUST-0254</t>
  </si>
  <si>
    <t>CUST-0227</t>
  </si>
  <si>
    <t>CUST-0095</t>
  </si>
  <si>
    <t>CUST-0284</t>
  </si>
  <si>
    <t>CUST-0054</t>
  </si>
  <si>
    <t>CUST-0017</t>
  </si>
  <si>
    <t>CUST-0295</t>
  </si>
  <si>
    <t>CUST-0288</t>
  </si>
  <si>
    <t>CUST-0115</t>
  </si>
  <si>
    <t>CUST-0275</t>
  </si>
  <si>
    <t>CUST-0184</t>
  </si>
  <si>
    <t>CUST-0231</t>
  </si>
  <si>
    <t>CUST-0187</t>
  </si>
  <si>
    <t>CUST-0192</t>
  </si>
  <si>
    <t>CUST-0134</t>
  </si>
  <si>
    <t>CUST-0232</t>
  </si>
  <si>
    <t>CUST-0252</t>
  </si>
  <si>
    <t>CUST-0109</t>
  </si>
  <si>
    <t>CUST-0039</t>
  </si>
  <si>
    <t>CUST-0209</t>
  </si>
  <si>
    <t>CUST-0077</t>
  </si>
  <si>
    <t>CUST-0076</t>
  </si>
  <si>
    <t>CUST-0135</t>
  </si>
  <si>
    <t>CUST-0277</t>
  </si>
  <si>
    <t>CUST-0045</t>
  </si>
  <si>
    <t>CUST-0055</t>
  </si>
  <si>
    <t>CUST-0085</t>
  </si>
  <si>
    <t>CUST-0169</t>
  </si>
  <si>
    <t>CUST-0130</t>
  </si>
  <si>
    <t>CUST-0003</t>
  </si>
  <si>
    <t>CUST-0035</t>
  </si>
  <si>
    <t>CUST-0256</t>
  </si>
  <si>
    <t>CUST-0283</t>
  </si>
  <si>
    <t>CUST-0141</t>
  </si>
  <si>
    <t>CUST-0007</t>
  </si>
  <si>
    <t>CUST-0081</t>
  </si>
  <si>
    <t>CUST-0146</t>
  </si>
  <si>
    <t>CUST-0127</t>
  </si>
  <si>
    <t>CUST-0265</t>
  </si>
  <si>
    <t>CUST-0087</t>
  </si>
  <si>
    <t>CUST-0103</t>
  </si>
  <si>
    <t>CUST-0014</t>
  </si>
  <si>
    <t>CUST-0124</t>
  </si>
  <si>
    <t>CUST-0217</t>
  </si>
  <si>
    <t>CUST-0237</t>
  </si>
  <si>
    <t>CUST-0167</t>
  </si>
  <si>
    <t>CUST-0234</t>
  </si>
  <si>
    <t>CUST-0226</t>
  </si>
  <si>
    <t>CUST-0138</t>
  </si>
  <si>
    <t>CUST-0066</t>
  </si>
  <si>
    <t>CUST-0213</t>
  </si>
  <si>
    <t>CUST-0297</t>
  </si>
  <si>
    <t>CUST-0289</t>
  </si>
  <si>
    <t>CUST-0126</t>
  </si>
  <si>
    <t>CUST-0172</t>
  </si>
  <si>
    <t>CUST-0300</t>
  </si>
  <si>
    <t>CUST-0196</t>
  </si>
  <si>
    <t>CUST-0185</t>
  </si>
  <si>
    <t>CUST-0229</t>
  </si>
  <si>
    <t>CUST-0058</t>
  </si>
  <si>
    <t>CUST-0154</t>
  </si>
  <si>
    <t>CUST-0023</t>
  </si>
  <si>
    <t>CUST-0181</t>
  </si>
  <si>
    <t>CUST-0164</t>
  </si>
  <si>
    <t>CUST-0121</t>
  </si>
  <si>
    <t>CUST-0212</t>
  </si>
  <si>
    <t>CUST-0021</t>
  </si>
  <si>
    <t>CUST-0038</t>
  </si>
  <si>
    <t>CUST-0010</t>
  </si>
  <si>
    <t>CUST-0211</t>
  </si>
  <si>
    <t>CUST-0215</t>
  </si>
  <si>
    <t>CUST-0002</t>
  </si>
  <si>
    <t>CUST-0225</t>
  </si>
  <si>
    <t>CUST-0100</t>
  </si>
  <si>
    <t>CUST-0064</t>
  </si>
  <si>
    <t>CUST-0132</t>
  </si>
  <si>
    <t>CUST-0221</t>
  </si>
  <si>
    <t>CUST-0269</t>
  </si>
  <si>
    <t>CUST-0281</t>
  </si>
  <si>
    <t>CUST-0094</t>
  </si>
  <si>
    <t>CUST-0148</t>
  </si>
  <si>
    <t>CUST-0013</t>
  </si>
  <si>
    <t>CUST-0145</t>
  </si>
  <si>
    <t>CUST-0267</t>
  </si>
  <si>
    <t>CUST-0056</t>
  </si>
  <si>
    <t>CUST-0247</t>
  </si>
  <si>
    <t>CUST-0197</t>
  </si>
  <si>
    <t>CUST-0098</t>
  </si>
  <si>
    <t>CUST-0108</t>
  </si>
  <si>
    <t>CUST-0294</t>
  </si>
  <si>
    <t>CUST-0207</t>
  </si>
  <si>
    <t>CUST-0128</t>
  </si>
  <si>
    <t>CUST-0149</t>
  </si>
  <si>
    <t>CUST-0122</t>
  </si>
  <si>
    <t>CUST-0165</t>
  </si>
  <si>
    <t>CUST-0224</t>
  </si>
  <si>
    <t>CUST-0065</t>
  </si>
  <si>
    <t>CUST-0261</t>
  </si>
  <si>
    <t>CUST-0005</t>
  </si>
  <si>
    <t>CUST-0298</t>
  </si>
  <si>
    <t>CUST-0183</t>
  </si>
  <si>
    <t>CUST-0260</t>
  </si>
  <si>
    <t>CUST-0202</t>
  </si>
  <si>
    <t>CUST-0259</t>
  </si>
  <si>
    <t>CUST-0204</t>
  </si>
  <si>
    <t>CUST-0030</t>
  </si>
  <si>
    <t>CUST-0078</t>
  </si>
  <si>
    <t>CUST-0151</t>
  </si>
  <si>
    <t>CUST-0096</t>
  </si>
  <si>
    <t>CUST-0220</t>
  </si>
  <si>
    <t>CUST-0106</t>
  </si>
  <si>
    <t>CUST-0120</t>
  </si>
  <si>
    <t>CUST-0028</t>
  </si>
  <si>
    <t>CUST-0091</t>
  </si>
  <si>
    <t>CUST-0278</t>
  </si>
  <si>
    <t>CUST-0129</t>
  </si>
  <si>
    <t>CUST-0222</t>
  </si>
  <si>
    <t>CUST-0161</t>
  </si>
  <si>
    <t>CUST-0117</t>
  </si>
  <si>
    <t>CUST-0182</t>
  </si>
  <si>
    <t>CUST-0194</t>
  </si>
  <si>
    <t>CUST-0159</t>
  </si>
  <si>
    <t>CUST-0279</t>
  </si>
  <si>
    <t>CUST-0048</t>
  </si>
  <si>
    <t>CUST-0092</t>
  </si>
  <si>
    <t>CUST-0292</t>
  </si>
  <si>
    <t>CUST-0068</t>
  </si>
  <si>
    <t>CUST-0174</t>
  </si>
  <si>
    <t>CUST-0090</t>
  </si>
  <si>
    <t>CUST-0034</t>
  </si>
  <si>
    <t>CUST-0272</t>
  </si>
  <si>
    <t>CUST-0046</t>
  </si>
  <si>
    <t>CUST-0285</t>
  </si>
  <si>
    <t>CUST-0189</t>
  </si>
  <si>
    <t>CUST-0206</t>
  </si>
  <si>
    <t>CUST-0233</t>
  </si>
  <si>
    <t>CUST-0150</t>
  </si>
  <si>
    <t>CUST-0086</t>
  </si>
  <si>
    <t>CUST-0248</t>
  </si>
  <si>
    <t>CUST-0160</t>
  </si>
  <si>
    <t>CUST-0050</t>
  </si>
  <si>
    <t>CUST-0131</t>
  </si>
  <si>
    <t>CUST-0008</t>
  </si>
  <si>
    <t>CUST-0230</t>
  </si>
  <si>
    <t>CUST-0179</t>
  </si>
  <si>
    <t>CUST-0019</t>
  </si>
  <si>
    <t>CUST-0074</t>
  </si>
  <si>
    <t>CUST-0299</t>
  </si>
  <si>
    <t>CUST-0027</t>
  </si>
  <si>
    <t>CUST-0099</t>
  </si>
  <si>
    <t>CUST-0033</t>
  </si>
  <si>
    <t>CUST-0223</t>
  </si>
  <si>
    <t>CUST-0158</t>
  </si>
  <si>
    <t>CUST-0029</t>
  </si>
  <si>
    <t>CUST-0186</t>
  </si>
  <si>
    <t>CUST-0043</t>
  </si>
  <si>
    <t>CUST-0059</t>
  </si>
  <si>
    <t>CUST-0287</t>
  </si>
  <si>
    <t>CUST-0176</t>
  </si>
  <si>
    <t>CUST-0253</t>
  </si>
  <si>
    <t>CUST-0166</t>
  </si>
  <si>
    <t>CUST-0175</t>
  </si>
  <si>
    <t>CUST-0241</t>
  </si>
  <si>
    <t>CUST-0093</t>
  </si>
  <si>
    <t>CUST-0116</t>
  </si>
  <si>
    <t>CUST-0180</t>
  </si>
  <si>
    <t>CUST-0062</t>
  </si>
  <si>
    <t>CUST-0009</t>
  </si>
  <si>
    <t>CUST-0119</t>
  </si>
  <si>
    <t>CUST-0067</t>
  </si>
  <si>
    <t>CUST-0177</t>
  </si>
  <si>
    <t>CUST-0044</t>
  </si>
  <si>
    <t>CUST-0162</t>
  </si>
  <si>
    <t>CUST-0246</t>
  </si>
  <si>
    <t>CUST-0079</t>
  </si>
  <si>
    <t>CUST-0191</t>
  </si>
  <si>
    <t>CUST-0291</t>
  </si>
  <si>
    <t>CUST-0155</t>
  </si>
  <si>
    <t>CUST-0031</t>
  </si>
  <si>
    <t>CUST-0001</t>
  </si>
  <si>
    <t>CUST-0293</t>
  </si>
  <si>
    <t>CUST-0152</t>
  </si>
  <si>
    <t>CUST-0216</t>
  </si>
  <si>
    <t>CUST-0073</t>
  </si>
  <si>
    <t>CUST-0060</t>
  </si>
  <si>
    <t>CUST-0266</t>
  </si>
  <si>
    <t>CUST-0089</t>
  </si>
  <si>
    <t>CUST-0171</t>
  </si>
  <si>
    <t>CUST-0201</t>
  </si>
  <si>
    <t>CUST-0012</t>
  </si>
  <si>
    <t>CUST-0040</t>
  </si>
  <si>
    <t>CUST-0024</t>
  </si>
  <si>
    <t>CUST-0244</t>
  </si>
  <si>
    <t>CUST-0205</t>
  </si>
  <si>
    <t>CUST-0075</t>
  </si>
  <si>
    <t>CUST-0153</t>
  </si>
  <si>
    <t>CUST-0036</t>
  </si>
  <si>
    <t>CUST-0296</t>
  </si>
  <si>
    <t>CUST-0123</t>
  </si>
  <si>
    <t>CUST-0137</t>
  </si>
  <si>
    <t>CUST-0006</t>
  </si>
  <si>
    <t>CUST-0264</t>
  </si>
  <si>
    <t>CUST-0125</t>
  </si>
  <si>
    <t>CUST-0143</t>
  </si>
  <si>
    <t>CUST-0107</t>
  </si>
  <si>
    <t>CUST-0020</t>
  </si>
  <si>
    <t>CUST-0133</t>
  </si>
  <si>
    <t>CUST-0041</t>
  </si>
  <si>
    <t>CUST-0262</t>
  </si>
  <si>
    <t>CUST-0286</t>
  </si>
  <si>
    <t>CUST-0268</t>
  </si>
  <si>
    <t>CUST-0193</t>
  </si>
  <si>
    <t>CUST-0083</t>
  </si>
  <si>
    <t>CUST-0070</t>
  </si>
  <si>
    <t>CUST-0156</t>
  </si>
  <si>
    <t>CUST-0037</t>
  </si>
  <si>
    <t>CUST-0236</t>
  </si>
  <si>
    <t>CUST-0016</t>
  </si>
  <si>
    <t>CUST-0088</t>
  </si>
  <si>
    <t>CUST-0239</t>
  </si>
  <si>
    <t>CUST-0274</t>
  </si>
  <si>
    <t>CUST-0238</t>
  </si>
  <si>
    <t>CUST-0249</t>
  </si>
  <si>
    <t>CUST-0057</t>
  </si>
  <si>
    <t>Customer 0235</t>
  </si>
  <si>
    <t>Customer 0173</t>
  </si>
  <si>
    <t>Customer 0195</t>
  </si>
  <si>
    <t>Customer 0190</t>
  </si>
  <si>
    <t>Customer 0080</t>
  </si>
  <si>
    <t>Customer 0114</t>
  </si>
  <si>
    <t>Customer 0061</t>
  </si>
  <si>
    <t>Customer 0052</t>
  </si>
  <si>
    <t>Customer 0082</t>
  </si>
  <si>
    <t>Customer 0178</t>
  </si>
  <si>
    <t>Customer 0255</t>
  </si>
  <si>
    <t>Customer 0026</t>
  </si>
  <si>
    <t>Customer 0170</t>
  </si>
  <si>
    <t>Customer 0025</t>
  </si>
  <si>
    <t>Customer 0188</t>
  </si>
  <si>
    <t>Customer 0290</t>
  </si>
  <si>
    <t>Customer 0071</t>
  </si>
  <si>
    <t>Customer 0282</t>
  </si>
  <si>
    <t>Customer 0147</t>
  </si>
  <si>
    <t>Customer 0199</t>
  </si>
  <si>
    <t>Customer 0263</t>
  </si>
  <si>
    <t>Customer 0219</t>
  </si>
  <si>
    <t>Customer 0280</t>
  </si>
  <si>
    <t>Customer 0042</t>
  </si>
  <si>
    <t>Customer 0049</t>
  </si>
  <si>
    <t>Customer 0112</t>
  </si>
  <si>
    <t>Customer 0097</t>
  </si>
  <si>
    <t>Customer 0242</t>
  </si>
  <si>
    <t>Customer 0032</t>
  </si>
  <si>
    <t>Customer 0168</t>
  </si>
  <si>
    <t>Customer 0063</t>
  </si>
  <si>
    <t>Customer 0273</t>
  </si>
  <si>
    <t>Customer 0140</t>
  </si>
  <si>
    <t>Customer 0111</t>
  </si>
  <si>
    <t>Customer 0004</t>
  </si>
  <si>
    <t>Customer 0047</t>
  </si>
  <si>
    <t>Customer 0271</t>
  </si>
  <si>
    <t>Customer 0198</t>
  </si>
  <si>
    <t>Customer 0243</t>
  </si>
  <si>
    <t>Customer 0240</t>
  </si>
  <si>
    <t>Customer 0157</t>
  </si>
  <si>
    <t>Customer 0276</t>
  </si>
  <si>
    <t>Customer 0136</t>
  </si>
  <si>
    <t>Customer 0258</t>
  </si>
  <si>
    <t>Customer 0118</t>
  </si>
  <si>
    <t>Customer 0110</t>
  </si>
  <si>
    <t>Customer 0270</t>
  </si>
  <si>
    <t>Customer 0018</t>
  </si>
  <si>
    <t>Customer 0084</t>
  </si>
  <si>
    <t>Customer 0203</t>
  </si>
  <si>
    <t>Customer 0053</t>
  </si>
  <si>
    <t>Customer 0214</t>
  </si>
  <si>
    <t>Customer 0218</t>
  </si>
  <si>
    <t>Customer 0104</t>
  </si>
  <si>
    <t>Customer 0105</t>
  </si>
  <si>
    <t>Customer 0011</t>
  </si>
  <si>
    <t>Customer 0245</t>
  </si>
  <si>
    <t>Customer 0069</t>
  </si>
  <si>
    <t>Customer 0072</t>
  </si>
  <si>
    <t>Customer 0139</t>
  </si>
  <si>
    <t>Customer 0015</t>
  </si>
  <si>
    <t>Customer 0101</t>
  </si>
  <si>
    <t>Customer 0113</t>
  </si>
  <si>
    <t>Customer 0142</t>
  </si>
  <si>
    <t>Customer 0228</t>
  </si>
  <si>
    <t>Customer 0200</t>
  </si>
  <si>
    <t>Customer 0144</t>
  </si>
  <si>
    <t>Customer 0210</t>
  </si>
  <si>
    <t>Customer 0102</t>
  </si>
  <si>
    <t>Customer 0208</t>
  </si>
  <si>
    <t>Customer 0022</t>
  </si>
  <si>
    <t>Customer 0163</t>
  </si>
  <si>
    <t>Customer 0250</t>
  </si>
  <si>
    <t>Customer 0251</t>
  </si>
  <si>
    <t>Customer 0254</t>
  </si>
  <si>
    <t>Customer 0227</t>
  </si>
  <si>
    <t>Customer 0095</t>
  </si>
  <si>
    <t>Customer 0284</t>
  </si>
  <si>
    <t>Customer 0054</t>
  </si>
  <si>
    <t>Customer 0017</t>
  </si>
  <si>
    <t>Customer 0295</t>
  </si>
  <si>
    <t>Customer 0288</t>
  </si>
  <si>
    <t>Customer 0115</t>
  </si>
  <si>
    <t>Customer 0275</t>
  </si>
  <si>
    <t>Customer 0184</t>
  </si>
  <si>
    <t>Customer 0231</t>
  </si>
  <si>
    <t>Customer 0187</t>
  </si>
  <si>
    <t>Customer 0192</t>
  </si>
  <si>
    <t>Customer 0134</t>
  </si>
  <si>
    <t>Customer 0232</t>
  </si>
  <si>
    <t>Customer 0252</t>
  </si>
  <si>
    <t>Customer 0109</t>
  </si>
  <si>
    <t>Customer 0039</t>
  </si>
  <si>
    <t>Customer 0209</t>
  </si>
  <si>
    <t>Customer 0077</t>
  </si>
  <si>
    <t>Customer 0076</t>
  </si>
  <si>
    <t>Customer 0135</t>
  </si>
  <si>
    <t>Customer 0277</t>
  </si>
  <si>
    <t>Customer 0045</t>
  </si>
  <si>
    <t>Customer 0055</t>
  </si>
  <si>
    <t>Customer 0085</t>
  </si>
  <si>
    <t>Customer 0169</t>
  </si>
  <si>
    <t>Customer 0130</t>
  </si>
  <si>
    <t>Customer 0003</t>
  </si>
  <si>
    <t>Customer 0035</t>
  </si>
  <si>
    <t>Customer 0256</t>
  </si>
  <si>
    <t>Customer 0283</t>
  </si>
  <si>
    <t>Customer 0141</t>
  </si>
  <si>
    <t>Customer 0007</t>
  </si>
  <si>
    <t>Customer 0081</t>
  </si>
  <si>
    <t>Customer 0146</t>
  </si>
  <si>
    <t>Customer 0127</t>
  </si>
  <si>
    <t>Customer 0265</t>
  </si>
  <si>
    <t>Customer 0087</t>
  </si>
  <si>
    <t>Customer 0103</t>
  </si>
  <si>
    <t>Customer 0014</t>
  </si>
  <si>
    <t>Customer 0124</t>
  </si>
  <si>
    <t>Customer 0217</t>
  </si>
  <si>
    <t>Customer 0237</t>
  </si>
  <si>
    <t>Customer 0167</t>
  </si>
  <si>
    <t>Customer 0234</t>
  </si>
  <si>
    <t>Customer 0226</t>
  </si>
  <si>
    <t>Customer 0138</t>
  </si>
  <si>
    <t>Customer 0066</t>
  </si>
  <si>
    <t>Customer 0213</t>
  </si>
  <si>
    <t>Customer 0297</t>
  </si>
  <si>
    <t>Customer 0289</t>
  </si>
  <si>
    <t>Customer 0126</t>
  </si>
  <si>
    <t>Customer 0172</t>
  </si>
  <si>
    <t>Customer 0300</t>
  </si>
  <si>
    <t>Customer 0196</t>
  </si>
  <si>
    <t>Customer 0185</t>
  </si>
  <si>
    <t>Customer 0229</t>
  </si>
  <si>
    <t>Customer 0058</t>
  </si>
  <si>
    <t>Customer 0154</t>
  </si>
  <si>
    <t>Customer 0023</t>
  </si>
  <si>
    <t>Customer 0181</t>
  </si>
  <si>
    <t>Customer 0164</t>
  </si>
  <si>
    <t>Customer 0121</t>
  </si>
  <si>
    <t>Customer 0212</t>
  </si>
  <si>
    <t>Customer 0021</t>
  </si>
  <si>
    <t>Customer 0038</t>
  </si>
  <si>
    <t>Customer 0010</t>
  </si>
  <si>
    <t>Customer 0211</t>
  </si>
  <si>
    <t>Customer 0215</t>
  </si>
  <si>
    <t>Customer 0002</t>
  </si>
  <si>
    <t>Customer 0225</t>
  </si>
  <si>
    <t>Customer 0100</t>
  </si>
  <si>
    <t>Customer 0064</t>
  </si>
  <si>
    <t>Customer 0132</t>
  </si>
  <si>
    <t>Customer 0221</t>
  </si>
  <si>
    <t>Customer 0269</t>
  </si>
  <si>
    <t>Customer 0281</t>
  </si>
  <si>
    <t>Customer 0094</t>
  </si>
  <si>
    <t>Customer 0148</t>
  </si>
  <si>
    <t>Customer 0013</t>
  </si>
  <si>
    <t>Customer 0145</t>
  </si>
  <si>
    <t>Customer 0267</t>
  </si>
  <si>
    <t>Customer 0056</t>
  </si>
  <si>
    <t>Customer 0247</t>
  </si>
  <si>
    <t>Customer 0197</t>
  </si>
  <si>
    <t>Customer 0098</t>
  </si>
  <si>
    <t>Customer 0108</t>
  </si>
  <si>
    <t>Customer 0294</t>
  </si>
  <si>
    <t>Customer 0207</t>
  </si>
  <si>
    <t>Customer 0128</t>
  </si>
  <si>
    <t>Customer 0149</t>
  </si>
  <si>
    <t>Customer 0122</t>
  </si>
  <si>
    <t>Customer 0165</t>
  </si>
  <si>
    <t>Customer 0224</t>
  </si>
  <si>
    <t>Customer 0065</t>
  </si>
  <si>
    <t>Customer 0261</t>
  </si>
  <si>
    <t>Customer 0005</t>
  </si>
  <si>
    <t>Customer 0298</t>
  </si>
  <si>
    <t>Customer 0183</t>
  </si>
  <si>
    <t>Customer 0260</t>
  </si>
  <si>
    <t>Customer 0202</t>
  </si>
  <si>
    <t>Customer 0259</t>
  </si>
  <si>
    <t>Customer 0204</t>
  </si>
  <si>
    <t>Customer 0030</t>
  </si>
  <si>
    <t>Customer 0078</t>
  </si>
  <si>
    <t>Customer 0151</t>
  </si>
  <si>
    <t>Customer 0096</t>
  </si>
  <si>
    <t>Customer 0220</t>
  </si>
  <si>
    <t>Customer 0106</t>
  </si>
  <si>
    <t>Customer 0120</t>
  </si>
  <si>
    <t>Customer 0028</t>
  </si>
  <si>
    <t>Customer 0091</t>
  </si>
  <si>
    <t>Customer 0278</t>
  </si>
  <si>
    <t>Customer 0129</t>
  </si>
  <si>
    <t>Customer 0222</t>
  </si>
  <si>
    <t>Customer 0161</t>
  </si>
  <si>
    <t>Customer 0117</t>
  </si>
  <si>
    <t>Customer 0182</t>
  </si>
  <si>
    <t>Customer 0194</t>
  </si>
  <si>
    <t>Customer 0159</t>
  </si>
  <si>
    <t>Customer 0279</t>
  </si>
  <si>
    <t>Customer 0048</t>
  </si>
  <si>
    <t>Customer 0092</t>
  </si>
  <si>
    <t>Customer 0292</t>
  </si>
  <si>
    <t>Customer 0068</t>
  </si>
  <si>
    <t>Customer 0174</t>
  </si>
  <si>
    <t>Customer 0090</t>
  </si>
  <si>
    <t>Customer 0034</t>
  </si>
  <si>
    <t>Customer 0272</t>
  </si>
  <si>
    <t>Customer 0046</t>
  </si>
  <si>
    <t>Customer 0285</t>
  </si>
  <si>
    <t>Customer 0189</t>
  </si>
  <si>
    <t>Customer 0206</t>
  </si>
  <si>
    <t>Customer 0233</t>
  </si>
  <si>
    <t>Customer 0150</t>
  </si>
  <si>
    <t>Customer 0086</t>
  </si>
  <si>
    <t>Customer 0248</t>
  </si>
  <si>
    <t>Customer 0160</t>
  </si>
  <si>
    <t>Customer 0050</t>
  </si>
  <si>
    <t>Customer 0131</t>
  </si>
  <si>
    <t>Customer 0008</t>
  </si>
  <si>
    <t>Customer 0230</t>
  </si>
  <si>
    <t>Customer 0179</t>
  </si>
  <si>
    <t>Customer 0019</t>
  </si>
  <si>
    <t>Customer 0074</t>
  </si>
  <si>
    <t>Customer 0299</t>
  </si>
  <si>
    <t>Customer 0027</t>
  </si>
  <si>
    <t>Customer 0099</t>
  </si>
  <si>
    <t>Customer 0033</t>
  </si>
  <si>
    <t>Customer 0223</t>
  </si>
  <si>
    <t>Customer 0158</t>
  </si>
  <si>
    <t>Customer 0029</t>
  </si>
  <si>
    <t>Customer 0186</t>
  </si>
  <si>
    <t>Customer 0043</t>
  </si>
  <si>
    <t>Customer 0059</t>
  </si>
  <si>
    <t>Customer 0287</t>
  </si>
  <si>
    <t>Customer 0176</t>
  </si>
  <si>
    <t>Customer 0253</t>
  </si>
  <si>
    <t>Customer 0166</t>
  </si>
  <si>
    <t>Customer 0175</t>
  </si>
  <si>
    <t>Customer 0241</t>
  </si>
  <si>
    <t>Customer 0093</t>
  </si>
  <si>
    <t>Customer 0116</t>
  </si>
  <si>
    <t>Customer 0180</t>
  </si>
  <si>
    <t>Customer 0062</t>
  </si>
  <si>
    <t>Customer 0009</t>
  </si>
  <si>
    <t>Customer 0119</t>
  </si>
  <si>
    <t>Customer 0067</t>
  </si>
  <si>
    <t>Customer 0177</t>
  </si>
  <si>
    <t>Customer 0044</t>
  </si>
  <si>
    <t>Customer 0162</t>
  </si>
  <si>
    <t>Customer 0246</t>
  </si>
  <si>
    <t>Customer 0079</t>
  </si>
  <si>
    <t>Customer 0191</t>
  </si>
  <si>
    <t>Customer 0291</t>
  </si>
  <si>
    <t>Customer 0155</t>
  </si>
  <si>
    <t>Customer 0031</t>
  </si>
  <si>
    <t>Customer 0001</t>
  </si>
  <si>
    <t>Customer 0293</t>
  </si>
  <si>
    <t>Customer 0152</t>
  </si>
  <si>
    <t>Customer 0216</t>
  </si>
  <si>
    <t>Customer 0073</t>
  </si>
  <si>
    <t>Customer 0060</t>
  </si>
  <si>
    <t>Customer 0266</t>
  </si>
  <si>
    <t>Customer 0089</t>
  </si>
  <si>
    <t>Customer 0171</t>
  </si>
  <si>
    <t>Customer 0201</t>
  </si>
  <si>
    <t>Customer 0012</t>
  </si>
  <si>
    <t>Customer 0040</t>
  </si>
  <si>
    <t>Customer 0024</t>
  </si>
  <si>
    <t>Customer 0244</t>
  </si>
  <si>
    <t>Customer 0205</t>
  </si>
  <si>
    <t>Customer 0075</t>
  </si>
  <si>
    <t>Customer 0153</t>
  </si>
  <si>
    <t>Customer 0036</t>
  </si>
  <si>
    <t>Customer 0296</t>
  </si>
  <si>
    <t>Customer 0123</t>
  </si>
  <si>
    <t>Customer 0137</t>
  </si>
  <si>
    <t>Customer 0006</t>
  </si>
  <si>
    <t>Customer 0264</t>
  </si>
  <si>
    <t>Customer 0125</t>
  </si>
  <si>
    <t>Customer 0143</t>
  </si>
  <si>
    <t>Customer 0107</t>
  </si>
  <si>
    <t>Customer 0020</t>
  </si>
  <si>
    <t>Customer 0133</t>
  </si>
  <si>
    <t>Customer 0041</t>
  </si>
  <si>
    <t>Customer 0262</t>
  </si>
  <si>
    <t>Customer 0286</t>
  </si>
  <si>
    <t>Customer 0268</t>
  </si>
  <si>
    <t>Customer 0193</t>
  </si>
  <si>
    <t>Customer 0083</t>
  </si>
  <si>
    <t>Customer 0070</t>
  </si>
  <si>
    <t>Customer 0156</t>
  </si>
  <si>
    <t>Customer 0037</t>
  </si>
  <si>
    <t>Customer 0236</t>
  </si>
  <si>
    <t>Customer 0016</t>
  </si>
  <si>
    <t>Customer 0088</t>
  </si>
  <si>
    <t>Customer 0239</t>
  </si>
  <si>
    <t>Customer 0274</t>
  </si>
  <si>
    <t>Customer 0238</t>
  </si>
  <si>
    <t>Customer 0249</t>
  </si>
  <si>
    <t>Customer 0057</t>
  </si>
  <si>
    <t>Corporate</t>
  </si>
  <si>
    <t>Consumer</t>
  </si>
  <si>
    <t>Small Business</t>
  </si>
  <si>
    <t>West</t>
  </si>
  <si>
    <t>South</t>
  </si>
  <si>
    <t>North</t>
  </si>
  <si>
    <t>East</t>
  </si>
  <si>
    <t>Gujarat</t>
  </si>
  <si>
    <t>Tamil Nadu</t>
  </si>
  <si>
    <t>Uttar Pradesh</t>
  </si>
  <si>
    <t>Karnataka</t>
  </si>
  <si>
    <t>Odisha</t>
  </si>
  <si>
    <t>Telangana</t>
  </si>
  <si>
    <t>Rajasthan</t>
  </si>
  <si>
    <t>Maharashtra</t>
  </si>
  <si>
    <t>Delhi</t>
  </si>
  <si>
    <t>West Bengal</t>
  </si>
  <si>
    <t>Bihar</t>
  </si>
  <si>
    <t>Ahmedabad</t>
  </si>
  <si>
    <t>Chennai</t>
  </si>
  <si>
    <t>Lucknow</t>
  </si>
  <si>
    <t>Bengaluru</t>
  </si>
  <si>
    <t>Bhubaneswar</t>
  </si>
  <si>
    <t>Hyderabad</t>
  </si>
  <si>
    <t>Jaipur</t>
  </si>
  <si>
    <t>Pune</t>
  </si>
  <si>
    <t>Kolkata</t>
  </si>
  <si>
    <t>Mumbai</t>
  </si>
  <si>
    <t>Patna</t>
  </si>
  <si>
    <t>Furniture</t>
  </si>
  <si>
    <t>Electronics</t>
  </si>
  <si>
    <t>Office Supplies</t>
  </si>
  <si>
    <t>Tables</t>
  </si>
  <si>
    <t>Phones</t>
  </si>
  <si>
    <t>Storage</t>
  </si>
  <si>
    <t>Accessories</t>
  </si>
  <si>
    <t>Laptops</t>
  </si>
  <si>
    <t>Paper</t>
  </si>
  <si>
    <t>Chairs</t>
  </si>
  <si>
    <t>Stationery</t>
  </si>
  <si>
    <t>Office Desk</t>
  </si>
  <si>
    <t>Smartphone Pro</t>
  </si>
  <si>
    <t>File Organizer</t>
  </si>
  <si>
    <t>Wireless Mouse</t>
  </si>
  <si>
    <t>Storage Cabinet</t>
  </si>
  <si>
    <t>Student Laptop</t>
  </si>
  <si>
    <t>Printer Paper</t>
  </si>
  <si>
    <t>Ergonomic Chair</t>
  </si>
  <si>
    <t>Keyboard</t>
  </si>
  <si>
    <t>Premium Pens</t>
  </si>
  <si>
    <t>Business Laptop</t>
  </si>
  <si>
    <t>Smartphone Lite</t>
  </si>
  <si>
    <t>Study Table</t>
  </si>
  <si>
    <t>Notebook Pack</t>
  </si>
  <si>
    <t>UPI</t>
  </si>
  <si>
    <t>Cash</t>
  </si>
  <si>
    <t>Card</t>
  </si>
  <si>
    <t>Net Banking</t>
  </si>
  <si>
    <t>Unknown</t>
  </si>
  <si>
    <t>Totalsales</t>
  </si>
  <si>
    <t>Totalprofit</t>
  </si>
  <si>
    <t>Profitmargin</t>
  </si>
  <si>
    <t>Totalorders</t>
  </si>
  <si>
    <t>Aversgeordervalue</t>
  </si>
  <si>
    <t>Row Labels</t>
  </si>
  <si>
    <t>Grand Total</t>
  </si>
  <si>
    <t>Sum of Sales</t>
  </si>
  <si>
    <t>Sum of Profit</t>
  </si>
  <si>
    <t>category</t>
  </si>
  <si>
    <t>sales</t>
  </si>
  <si>
    <t>profit</t>
  </si>
  <si>
    <t>profitmargin</t>
  </si>
  <si>
    <t>Officesupplies</t>
  </si>
  <si>
    <t>Product</t>
  </si>
  <si>
    <t xml:space="preserve">Profit </t>
  </si>
  <si>
    <t>Businesslaptop</t>
  </si>
  <si>
    <t>Studentlaptop</t>
  </si>
  <si>
    <t>Smartphonepro</t>
  </si>
  <si>
    <t>Smartphonelite</t>
  </si>
  <si>
    <t>Storagecabinet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</si>
  <si>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</si>
  <si>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</si>
  <si>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</si>
  <si>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</si>
  <si>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</si>
  <si>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</si>
  <si>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</si>
  <si>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</si>
  <si>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</si>
  <si>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</si>
  <si>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</si>
  <si>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</si>
  <si>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</si>
  <si>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Profit margin</t>
  </si>
  <si>
    <t>June</t>
  </si>
  <si>
    <t>July</t>
  </si>
  <si>
    <t>Retail Sales &amp; Performance Dashboard</t>
  </si>
  <si>
    <t>TOTAL SALES</t>
  </si>
  <si>
    <t>Total PROFIT</t>
  </si>
  <si>
    <t>PROFIT MARGIN</t>
  </si>
  <si>
    <t>TOTAL ORDERS</t>
  </si>
  <si>
    <t>AVG ORDER</t>
  </si>
  <si>
    <t>KEY BUSINESS INSIGHTS</t>
  </si>
  <si>
    <t>• South region generated the highest sales at ₹1.40 Cr.</t>
  </si>
  <si>
    <t>• Electronics was the largest sales category at ₹3.86 Cr.</t>
  </si>
  <si>
    <t>• Business Laptop was the top-selling product at ₹1.42 Cr.</t>
  </si>
  <si>
    <t>• April recorded the lowest monthly sales at ₹27.91 L.</t>
  </si>
  <si>
    <t>• Office Supplies had the highest category profit margin at 23.47%.</t>
  </si>
  <si>
    <t>• December recorded the highest monthly sales at ₹50.75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</si>
</sst>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43" formatCode="_ * #,##0.00_ ;_ * \-#,##0.00_ ;_ * &quot;-&quot;??_ ;_ @_ "/>
    <numFmt numFmtId="169" formatCode="&quot;₹&quot;\ 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0" fontId="0" fillId="0" borderId="0" xfId="0" applyNumberFormat="1"/>
    <xf numFmtId="9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43" fontId="0" fillId="0" borderId="0" xfId="1" applyFon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2" applyFont="1"/>
    <xf numFmtId="10" fontId="0" fillId="0" borderId="0" xfId="2" applyNumberFormat="1" applyFont="1"/>
    <xf numFmtId="10" fontId="3" fillId="0" borderId="0" xfId="2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0" xfId="0" applyFo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1" fontId="5" fillId="0" borderId="5" xfId="1" applyNumberFormat="1" applyFont="1" applyBorder="1" applyAlignment="1">
      <alignment horizontal="center"/>
    </xf>
    <xf numFmtId="41" fontId="5" fillId="0" borderId="6" xfId="1" applyNumberFormat="1" applyFont="1" applyBorder="1" applyAlignment="1">
      <alignment horizontal="center"/>
    </xf>
    <xf numFmtId="41" fontId="5" fillId="0" borderId="7" xfId="1" applyNumberFormat="1" applyFont="1" applyBorder="1" applyAlignment="1">
      <alignment horizontal="center"/>
    </xf>
    <xf numFmtId="41" fontId="5" fillId="0" borderId="8" xfId="1" applyNumberFormat="1" applyFont="1" applyBorder="1" applyAlignment="1">
      <alignment horizontal="center"/>
    </xf>
    <xf numFmtId="43" fontId="5" fillId="0" borderId="2" xfId="1" applyFont="1" applyBorder="1" applyAlignment="1">
      <alignment horizontal="center"/>
    </xf>
    <xf numFmtId="0" fontId="1" fillId="0" borderId="2" xfId="0" applyFont="1" applyBorder="1" applyAlignment="1"/>
    <xf numFmtId="43" fontId="5" fillId="0" borderId="5" xfId="0" applyNumberFormat="1" applyFont="1" applyBorder="1" applyAlignment="1"/>
    <xf numFmtId="43" fontId="5" fillId="0" borderId="6" xfId="0" applyNumberFormat="1" applyFont="1" applyBorder="1" applyAlignment="1"/>
    <xf numFmtId="43" fontId="5" fillId="0" borderId="7" xfId="0" applyNumberFormat="1" applyFont="1" applyBorder="1" applyAlignment="1"/>
    <xf numFmtId="43" fontId="5" fillId="0" borderId="8" xfId="0" applyNumberFormat="1" applyFont="1" applyBorder="1" applyAlignment="1"/>
    <xf numFmtId="169" fontId="5" fillId="0" borderId="2" xfId="0" applyNumberFormat="1" applyFont="1" applyBorder="1" applyAlignment="1"/>
    <xf numFmtId="10" fontId="5" fillId="0" borderId="5" xfId="0" applyNumberFormat="1" applyFont="1" applyBorder="1" applyAlignment="1"/>
    <xf numFmtId="10" fontId="5" fillId="0" borderId="6" xfId="0" applyNumberFormat="1" applyFont="1" applyBorder="1" applyAlignment="1"/>
    <xf numFmtId="10" fontId="5" fillId="0" borderId="7" xfId="0" applyNumberFormat="1" applyFont="1" applyBorder="1" applyAlignment="1"/>
    <xf numFmtId="10" fontId="5" fillId="0" borderId="8" xfId="0" applyNumberFormat="1" applyFont="1" applyBorder="1" applyAlignment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9"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1" formatCode="0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Monthly</a:t>
            </a:r>
            <a:r>
              <a:rPr lang="en-IN" baseline="0"/>
              <a:t> Sales Trend</a:t>
            </a:r>
          </a:p>
          <a:p>
            <a:pPr>
              <a:defRPr/>
            </a:pP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analysis!$B$29</c:f>
              <c:strCache>
                <c:ptCount val="1"/>
                <c:pt idx="0">
                  <c:v> Sales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analysis!$B$30:$B$41</c:f>
              <c:numCache>
                <c:formatCode>_(* #,##0.00_);_(* \(#,##0.00\);_(* "-"??_);_(@_)</c:formatCode>
                <c:ptCount val="12"/>
                <c:pt idx="0">
                  <c:v>4558783.95</c:v>
                </c:pt>
                <c:pt idx="1">
                  <c:v>4461477.41</c:v>
                </c:pt>
                <c:pt idx="2">
                  <c:v>3697121.86</c:v>
                </c:pt>
                <c:pt idx="3">
                  <c:v>2790935.36</c:v>
                </c:pt>
                <c:pt idx="4">
                  <c:v>3858104.91</c:v>
                </c:pt>
                <c:pt idx="5">
                  <c:v>3985541.62</c:v>
                </c:pt>
                <c:pt idx="6">
                  <c:v>4392458.0599999996</c:v>
                </c:pt>
                <c:pt idx="7">
                  <c:v>4809282.75</c:v>
                </c:pt>
                <c:pt idx="8">
                  <c:v>4122590.66</c:v>
                </c:pt>
                <c:pt idx="9">
                  <c:v>3425718.29</c:v>
                </c:pt>
                <c:pt idx="10">
                  <c:v>3198513.8</c:v>
                </c:pt>
                <c:pt idx="11">
                  <c:v>5074620.46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5-49E2-8BDE-5835A53C6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3613135"/>
        <c:axId val="1193611887"/>
      </c:lineChart>
      <c:catAx>
        <c:axId val="119361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611887"/>
        <c:crosses val="autoZero"/>
        <c:auto val="1"/>
        <c:lblAlgn val="ctr"/>
        <c:lblOffset val="100"/>
        <c:noMultiLvlLbl val="0"/>
      </c:catAx>
      <c:valAx>
        <c:axId val="119361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61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Sales &amp; Profit</a:t>
            </a:r>
          </a:p>
          <a:p>
            <a:pPr>
              <a:defRPr/>
            </a:pPr>
            <a:r>
              <a:rPr lang="en-IN" baseline="0"/>
              <a:t> </a:t>
            </a:r>
          </a:p>
        </c:rich>
      </c:tx>
      <c:layout>
        <c:manualLayout>
          <c:xMode val="edge"/>
          <c:yMode val="edge"/>
          <c:x val="0.377531047948274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7899062159913"/>
          <c:y val="8.3749857354787169E-2"/>
          <c:w val="0.76521019247594046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analysis!$B$8</c:f>
              <c:strCache>
                <c:ptCount val="1"/>
                <c:pt idx="0">
                  <c:v>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analysis!$A$9:$A$11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Officesupplies</c:v>
                </c:pt>
              </c:strCache>
            </c:strRef>
          </c:cat>
          <c:val>
            <c:numRef>
              <c:f>analysis!$B$9:$B$11</c:f>
              <c:numCache>
                <c:formatCode>_(* #,##0.00_);_(* \(#,##0.00\);_(* "-"??_);_(@_)</c:formatCode>
                <c:ptCount val="3"/>
                <c:pt idx="0">
                  <c:v>38550939.770000003</c:v>
                </c:pt>
                <c:pt idx="1">
                  <c:v>9364611.2599999998</c:v>
                </c:pt>
                <c:pt idx="2">
                  <c:v>459598.1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2-4652-ACDC-FF6FE601F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01530655"/>
        <c:axId val="1601528991"/>
      </c:barChart>
      <c:lineChart>
        <c:grouping val="standard"/>
        <c:varyColors val="0"/>
        <c:ser>
          <c:idx val="1"/>
          <c:order val="1"/>
          <c:tx>
            <c:strRef>
              <c:f>analysis!$C$8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analysis!$A$9:$A$11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Officesupplies</c:v>
                </c:pt>
              </c:strCache>
            </c:strRef>
          </c:cat>
          <c:val>
            <c:numRef>
              <c:f>analysis!$C$9:$C$11</c:f>
              <c:numCache>
                <c:formatCode>General</c:formatCode>
                <c:ptCount val="3"/>
                <c:pt idx="0">
                  <c:v>5109995.43</c:v>
                </c:pt>
                <c:pt idx="1">
                  <c:v>1705281.17</c:v>
                </c:pt>
                <c:pt idx="2">
                  <c:v>107881.74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E2-4652-ACDC-FF6FE601F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009199"/>
        <c:axId val="985998383"/>
      </c:lineChart>
      <c:catAx>
        <c:axId val="160153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528991"/>
        <c:crosses val="autoZero"/>
        <c:auto val="1"/>
        <c:lblAlgn val="ctr"/>
        <c:lblOffset val="100"/>
        <c:noMultiLvlLbl val="0"/>
      </c:catAx>
      <c:valAx>
        <c:axId val="160152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530655"/>
        <c:crosses val="autoZero"/>
        <c:crossBetween val="between"/>
      </c:valAx>
      <c:valAx>
        <c:axId val="9859983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009199"/>
        <c:crosses val="max"/>
        <c:crossBetween val="between"/>
      </c:valAx>
      <c:catAx>
        <c:axId val="986009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859983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</a:t>
            </a:r>
            <a:r>
              <a:rPr lang="en-IN" baseline="0"/>
              <a:t> Sales &amp;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analysis!$B$14</c:f>
              <c:strCache>
                <c:ptCount val="1"/>
                <c:pt idx="0">
                  <c:v>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analysis!$A$15:$A$18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analysis!$B$15:$B$18</c:f>
              <c:numCache>
                <c:formatCode>General</c:formatCode>
                <c:ptCount val="4"/>
                <c:pt idx="0">
                  <c:v>10996134.48</c:v>
                </c:pt>
                <c:pt idx="1">
                  <c:v>12222771.73</c:v>
                </c:pt>
                <c:pt idx="2">
                  <c:v>13961115.34</c:v>
                </c:pt>
                <c:pt idx="3">
                  <c:v>11195127.58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B-4348-93A2-5626AFA3D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94702767"/>
        <c:axId val="1194704847"/>
      </c:barChart>
      <c:lineChart>
        <c:grouping val="standard"/>
        <c:varyColors val="0"/>
        <c:ser>
          <c:idx val="1"/>
          <c:order val="1"/>
          <c:tx>
            <c:strRef>
              <c:f>analysis!$C$14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analysis!$A$15:$A$18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analysis!$C$15:$C$18</c:f>
              <c:numCache>
                <c:formatCode>General</c:formatCode>
                <c:ptCount val="4"/>
                <c:pt idx="0">
                  <c:v>1655647.04</c:v>
                </c:pt>
                <c:pt idx="1">
                  <c:v>1704299.58</c:v>
                </c:pt>
                <c:pt idx="2">
                  <c:v>1943587.9</c:v>
                </c:pt>
                <c:pt idx="3">
                  <c:v>1619623.82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DB-4348-93A2-5626AFA3D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768239"/>
        <c:axId val="1608761583"/>
      </c:lineChart>
      <c:catAx>
        <c:axId val="119470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704847"/>
        <c:crosses val="autoZero"/>
        <c:auto val="1"/>
        <c:lblAlgn val="ctr"/>
        <c:lblOffset val="100"/>
        <c:noMultiLvlLbl val="0"/>
      </c:catAx>
      <c:valAx>
        <c:axId val="119470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702767"/>
        <c:crosses val="autoZero"/>
        <c:crossBetween val="between"/>
      </c:valAx>
      <c:valAx>
        <c:axId val="16087615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768239"/>
        <c:crosses val="max"/>
        <c:crossBetween val="between"/>
      </c:valAx>
      <c:catAx>
        <c:axId val="1608768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087615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Top</a:t>
            </a:r>
            <a:r>
              <a:rPr lang="en-US" baseline="0"/>
              <a:t> 5 Products by Sales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112087829876372"/>
          <c:y val="0.13133187772925767"/>
          <c:w val="0.75324966801952609"/>
          <c:h val="0.643537748283647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analysis!$B$21</c:f>
              <c:strCache>
                <c:ptCount val="1"/>
                <c:pt idx="0">
                  <c:v>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analysis!$A$22:$A$26</c:f>
              <c:strCache>
                <c:ptCount val="5"/>
                <c:pt idx="0">
                  <c:v>Businesslaptop</c:v>
                </c:pt>
                <c:pt idx="1">
                  <c:v>Studentlaptop</c:v>
                </c:pt>
                <c:pt idx="2">
                  <c:v>Smartphonepro</c:v>
                </c:pt>
                <c:pt idx="3">
                  <c:v>Smartphonelite</c:v>
                </c:pt>
                <c:pt idx="4">
                  <c:v>Storagecabinet</c:v>
                </c:pt>
              </c:strCache>
            </c:strRef>
          </c:cat>
          <c:val>
            <c:numRef>
              <c:f>analysis!$B$22:$B$26</c:f>
              <c:numCache>
                <c:formatCode>_(* #,##0.00_);_(* \(#,##0.00\);_(* "-"??_);_(@_)</c:formatCode>
                <c:ptCount val="5"/>
                <c:pt idx="0" formatCode="General">
                  <c:v>14208075.4</c:v>
                </c:pt>
                <c:pt idx="1">
                  <c:v>10698033.74</c:v>
                </c:pt>
                <c:pt idx="2" formatCode="General">
                  <c:v>9132833.3399999999</c:v>
                </c:pt>
                <c:pt idx="3" formatCode="General">
                  <c:v>3827442.27</c:v>
                </c:pt>
                <c:pt idx="4" formatCode="General">
                  <c:v>3494627.21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D-4AEF-8564-90E386BF7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3386879"/>
        <c:axId val="1553384799"/>
      </c:barChart>
      <c:catAx>
        <c:axId val="155338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384799"/>
        <c:crosses val="autoZero"/>
        <c:auto val="1"/>
        <c:lblAlgn val="ctr"/>
        <c:lblOffset val="100"/>
        <c:noMultiLvlLbl val="0"/>
      </c:catAx>
      <c:valAx>
        <c:axId val="155338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38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5</xdr:col>
      <xdr:colOff>152400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84FC52-0D9C-4795-A37F-77CB3EE4F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7</xdr:row>
      <xdr:rowOff>167640</xdr:rowOff>
    </xdr:from>
    <xdr:to>
      <xdr:col>14</xdr:col>
      <xdr:colOff>198120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3D5720-0822-435C-ADE1-B4CCF0B21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15240</xdr:rowOff>
    </xdr:from>
    <xdr:to>
      <xdr:col>5</xdr:col>
      <xdr:colOff>152400</xdr:colOff>
      <xdr:row>39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5B50D2-A835-4061-B93D-75C4943C6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24</xdr:row>
      <xdr:rowOff>15240</xdr:rowOff>
    </xdr:from>
    <xdr:to>
      <xdr:col>14</xdr:col>
      <xdr:colOff>601980</xdr:colOff>
      <xdr:row>43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30421F-9F70-4A41-9DC8-8B6D5EDB6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tika Ojha" refreshedDate="46253.877452546294" createdVersion="7" refreshedVersion="7" minRefreshableVersion="3" recordCount="1500" xr:uid="{60E48FEA-1E93-405B-8B5E-E604E26BE62A}">
  <cacheSource type="worksheet">
    <worksheetSource name="retailsales"/>
  </cacheSource>
  <cacheFields count="18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1T00:00:00" count="36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2T00:00:00"/>
        <d v="2025-10-13T00:00:00"/>
        <d v="2025-10-14T00:00:00"/>
        <d v="2025-10-15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17" base="1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4">
        <s v="West"/>
        <s v="South"/>
        <s v="North"/>
        <s v="East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Furniture"/>
        <s v="Electronics"/>
        <s v="Office Supplies"/>
      </sharedItems>
    </cacheField>
    <cacheField name="Sub_Category" numFmtId="0">
      <sharedItems/>
    </cacheField>
    <cacheField name="Product_Name" numFmtId="0">
      <sharedItems count="14">
        <s v="Office Desk"/>
        <s v="Smartphone Pro"/>
        <s v="File Organizer"/>
        <s v="Wireless Mouse"/>
        <s v="Storage Cabinet"/>
        <s v="Student Laptop"/>
        <s v="Printer Paper"/>
        <s v="Ergonomic Chair"/>
        <s v="Keyboard"/>
        <s v="Premium Pens"/>
        <s v="Business Laptop"/>
        <s v="Smartphone Lite"/>
        <s v="Study Table"/>
        <s v="Notebook Pack"/>
      </sharedItems>
    </cacheField>
    <cacheField name="Quantity" numFmtId="1">
      <sharedItems containsSemiMixedTypes="0" containsString="0" containsNumber="1" containsInteger="1" minValue="1" maxValue="5"/>
    </cacheField>
    <cacheField name="Unit_Price" numFmtId="2">
      <sharedItems containsSemiMixedTypes="0" containsString="0" containsNumber="1" minValue="332.97" maxValue="68216.28"/>
    </cacheField>
    <cacheField name="Discount" numFmtId="9">
      <sharedItems containsSemiMixedTypes="0" containsString="0" containsNumber="1" minValue="0" maxValue="0.2"/>
    </cacheField>
    <cacheField name="Sales" numFmtId="2">
      <sharedItems containsSemiMixedTypes="0" containsString="0" containsNumber="1" minValue="275.43" maxValue="336380.6"/>
    </cacheField>
    <cacheField name="Profit" numFmtId="2">
      <sharedItems containsSemiMixedTypes="0" containsString="0" containsNumber="1" minValue="12.75" maxValue="73889.89"/>
    </cacheField>
    <cacheField name="Payment_Mode" numFmtId="0">
      <sharedItems/>
    </cacheField>
    <cacheField name="Months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ORD-01344"/>
    <x v="0"/>
    <s v="CUST-0235"/>
    <s v="Customer 0235"/>
    <s v="Corporate"/>
    <x v="0"/>
    <s v="Gujarat"/>
    <s v="Ahmedabad"/>
    <x v="0"/>
    <s v="Tables"/>
    <x v="0"/>
    <n v="1"/>
    <n v="12337.2"/>
    <n v="0.15"/>
    <n v="10486.62"/>
    <n v="1136.21"/>
    <s v="UPI"/>
  </r>
  <r>
    <s v="ORD-00044"/>
    <x v="0"/>
    <s v="CUST-0173"/>
    <s v="Customer 0173"/>
    <s v="Consumer"/>
    <x v="1"/>
    <s v="Tamil Nadu"/>
    <s v="Chennai"/>
    <x v="1"/>
    <s v="Phones"/>
    <x v="1"/>
    <n v="2"/>
    <n v="40399.040000000001"/>
    <n v="0"/>
    <n v="80798.080000000002"/>
    <n v="7793.27"/>
    <s v="Cash"/>
  </r>
  <r>
    <s v="ORD-00421"/>
    <x v="0"/>
    <s v="CUST-0195"/>
    <s v="Customer 0195"/>
    <s v="Small Business"/>
    <x v="2"/>
    <s v="Uttar Pradesh"/>
    <s v="Lucknow"/>
    <x v="2"/>
    <s v="Storage"/>
    <x v="2"/>
    <n v="2"/>
    <n v="716.15"/>
    <n v="0.2"/>
    <n v="1145.8399999999999"/>
    <n v="108.76"/>
    <s v="Card"/>
  </r>
  <r>
    <s v="ORD-01084"/>
    <x v="0"/>
    <s v="CUST-0190"/>
    <s v="Customer 0190"/>
    <s v="Consumer"/>
    <x v="1"/>
    <s v="Karnataka"/>
    <s v="Bengaluru"/>
    <x v="1"/>
    <s v="Accessories"/>
    <x v="3"/>
    <n v="2"/>
    <n v="1257.97"/>
    <n v="0.2"/>
    <n v="2012.75"/>
    <n v="283.99"/>
    <s v="UPI"/>
  </r>
  <r>
    <s v="ORD-00134"/>
    <x v="0"/>
    <s v="CUST-0080"/>
    <s v="Customer 0080"/>
    <s v="Consumer"/>
    <x v="3"/>
    <s v="Odisha"/>
    <s v="Bhubaneswar"/>
    <x v="0"/>
    <s v="Storage"/>
    <x v="4"/>
    <n v="1"/>
    <n v="14399.79"/>
    <n v="0.15"/>
    <n v="12239.82"/>
    <n v="1488.99"/>
    <s v="UPI"/>
  </r>
  <r>
    <s v="ORD-00985"/>
    <x v="1"/>
    <s v="CUST-0114"/>
    <s v="Customer 0114"/>
    <s v="Consumer"/>
    <x v="1"/>
    <s v="Karnataka"/>
    <s v="Bengaluru"/>
    <x v="2"/>
    <s v="Storage"/>
    <x v="2"/>
    <n v="1"/>
    <n v="778.13"/>
    <n v="0"/>
    <n v="778.13"/>
    <n v="251.8"/>
    <s v="UPI"/>
  </r>
  <r>
    <s v="ORD-00843"/>
    <x v="1"/>
    <s v="CUST-0061"/>
    <s v="Customer 0061"/>
    <s v="Consumer"/>
    <x v="1"/>
    <s v="Telangana"/>
    <s v="Hyderabad"/>
    <x v="1"/>
    <s v="Laptops"/>
    <x v="5"/>
    <n v="2"/>
    <n v="46098.43"/>
    <n v="0"/>
    <n v="92196.86"/>
    <n v="8970.77"/>
    <s v="Net Banking"/>
  </r>
  <r>
    <s v="ORD-00014"/>
    <x v="1"/>
    <s v="CUST-0052"/>
    <s v="Customer 0052"/>
    <s v="Consumer"/>
    <x v="1"/>
    <s v="Karnataka"/>
    <s v="Bengaluru"/>
    <x v="2"/>
    <s v="Paper"/>
    <x v="6"/>
    <n v="3"/>
    <n v="434.16"/>
    <n v="0.1"/>
    <n v="1172.23"/>
    <n v="390.21"/>
    <s v="Card"/>
  </r>
  <r>
    <s v="ORD-01215"/>
    <x v="2"/>
    <s v="CUST-0082"/>
    <s v="Customer 0082"/>
    <s v="Consumer"/>
    <x v="1"/>
    <s v="Tamil Nadu"/>
    <s v="Chennai"/>
    <x v="1"/>
    <s v="Laptops"/>
    <x v="5"/>
    <n v="3"/>
    <n v="48250.63"/>
    <n v="0.05"/>
    <n v="137514.29999999999"/>
    <n v="20572.88"/>
    <s v="Card"/>
  </r>
  <r>
    <s v="ORD-00447"/>
    <x v="2"/>
    <s v="CUST-0178"/>
    <s v="Customer 0178"/>
    <s v="Consumer"/>
    <x v="2"/>
    <s v="Uttar Pradesh"/>
    <s v="Lucknow"/>
    <x v="2"/>
    <s v="Paper"/>
    <x v="6"/>
    <n v="2"/>
    <n v="448.97"/>
    <n v="0.05"/>
    <n v="853.04"/>
    <n v="248.53"/>
    <s v="Net Banking"/>
  </r>
  <r>
    <s v="ORD-01430"/>
    <x v="2"/>
    <s v="CUST-0255"/>
    <s v="Customer 0255"/>
    <s v="Consumer"/>
    <x v="1"/>
    <s v="Telangana"/>
    <s v="Hyderabad"/>
    <x v="0"/>
    <s v="Chairs"/>
    <x v="7"/>
    <n v="3"/>
    <n v="8866.1"/>
    <n v="0.1"/>
    <n v="23938.47"/>
    <n v="5118.76"/>
    <s v="Net Banking"/>
  </r>
  <r>
    <s v="ORD-01163"/>
    <x v="2"/>
    <s v="CUST-0026"/>
    <s v="Customer 0026"/>
    <s v="Consumer"/>
    <x v="2"/>
    <s v="Rajasthan"/>
    <s v="Jaipur"/>
    <x v="1"/>
    <s v="Accessories"/>
    <x v="8"/>
    <n v="1"/>
    <n v="1744.13"/>
    <n v="0"/>
    <n v="1744.13"/>
    <n v="147.29"/>
    <s v="Card"/>
  </r>
  <r>
    <s v="ORD-01011"/>
    <x v="2"/>
    <s v="CUST-0170"/>
    <s v="Customer 0170"/>
    <s v="Small Business"/>
    <x v="0"/>
    <s v="Maharashtra"/>
    <s v="Pune"/>
    <x v="0"/>
    <s v="Tables"/>
    <x v="0"/>
    <n v="2"/>
    <n v="11430.69"/>
    <n v="0"/>
    <n v="22861.38"/>
    <n v="5657.58"/>
    <s v="Card"/>
  </r>
  <r>
    <s v="ORD-01044"/>
    <x v="2"/>
    <s v="CUST-0025"/>
    <s v="Customer 0025"/>
    <s v="Consumer"/>
    <x v="2"/>
    <s v="Delhi"/>
    <s v="Delhi"/>
    <x v="2"/>
    <s v="Paper"/>
    <x v="6"/>
    <n v="4"/>
    <n v="451.09"/>
    <n v="0.15"/>
    <n v="1533.71"/>
    <n v="270.27999999999997"/>
    <s v="UPI"/>
  </r>
  <r>
    <s v="ORD-00101"/>
    <x v="3"/>
    <s v="CUST-0188"/>
    <s v="Customer 0188"/>
    <s v="Consumer"/>
    <x v="0"/>
    <s v="Gujarat"/>
    <s v="Ahmedabad"/>
    <x v="2"/>
    <s v="Stationery"/>
    <x v="9"/>
    <n v="4"/>
    <n v="347.94"/>
    <n v="0.1"/>
    <n v="1252.58"/>
    <n v="258.77"/>
    <s v="UPI"/>
  </r>
  <r>
    <s v="ORD-00278"/>
    <x v="3"/>
    <s v="CUST-0195"/>
    <s v="Customer 0195"/>
    <s v="Consumer"/>
    <x v="3"/>
    <s v="West Bengal"/>
    <s v="Kolkata"/>
    <x v="1"/>
    <s v="Laptops"/>
    <x v="10"/>
    <n v="4"/>
    <n v="66473.87"/>
    <n v="0"/>
    <n v="265895.48"/>
    <n v="50080.58"/>
    <s v="Cash"/>
  </r>
  <r>
    <s v="ORD-01354"/>
    <x v="3"/>
    <s v="CUST-0290"/>
    <s v="Customer 0290"/>
    <s v="Consumer"/>
    <x v="3"/>
    <s v="Odisha"/>
    <s v="Bhubaneswar"/>
    <x v="2"/>
    <s v="Paper"/>
    <x v="6"/>
    <n v="1"/>
    <n v="455.71"/>
    <n v="0"/>
    <n v="455.71"/>
    <n v="75.069999999999993"/>
    <s v="UPI"/>
  </r>
  <r>
    <s v="ORD-01051"/>
    <x v="4"/>
    <s v="CUST-0071"/>
    <s v="Customer 0071"/>
    <s v="Consumer"/>
    <x v="2"/>
    <s v="Rajasthan"/>
    <s v="Jaipur"/>
    <x v="1"/>
    <s v="Phones"/>
    <x v="1"/>
    <n v="2"/>
    <n v="43217.45"/>
    <n v="0.1"/>
    <n v="77791.41"/>
    <n v="11408.47"/>
    <s v="UPI"/>
  </r>
  <r>
    <s v="ORD-00494"/>
    <x v="4"/>
    <s v="CUST-0282"/>
    <s v="Customer 0282"/>
    <s v="Small Business"/>
    <x v="3"/>
    <s v="Odisha"/>
    <s v="Bhubaneswar"/>
    <x v="1"/>
    <s v="Accessories"/>
    <x v="3"/>
    <n v="1"/>
    <n v="1229.54"/>
    <n v="0"/>
    <n v="1229.54"/>
    <n v="236.42"/>
    <s v="Cash"/>
  </r>
  <r>
    <s v="ORD-00023"/>
    <x v="5"/>
    <s v="CUST-0147"/>
    <s v="Customer 0147"/>
    <s v="Corporate"/>
    <x v="0"/>
    <s v="Maharashtra"/>
    <s v="Mumbai"/>
    <x v="1"/>
    <s v="Accessories"/>
    <x v="3"/>
    <n v="3"/>
    <n v="1259.3499999999999"/>
    <n v="0"/>
    <n v="3778.05"/>
    <n v="550.80999999999995"/>
    <s v="Cash"/>
  </r>
  <r>
    <s v="ORD-00544"/>
    <x v="5"/>
    <s v="CUST-0025"/>
    <s v="Customer 0025"/>
    <s v="Corporate"/>
    <x v="2"/>
    <s v="Rajasthan"/>
    <s v="Jaipur"/>
    <x v="1"/>
    <s v="Laptops"/>
    <x v="5"/>
    <n v="2"/>
    <n v="48061.61"/>
    <n v="0"/>
    <n v="96123.22"/>
    <n v="12309.74"/>
    <s v="UPI"/>
  </r>
  <r>
    <s v="ORD-01375"/>
    <x v="6"/>
    <s v="CUST-0199"/>
    <s v="Customer 0199"/>
    <s v="Consumer"/>
    <x v="3"/>
    <s v="Odisha"/>
    <s v="Bhubaneswar"/>
    <x v="2"/>
    <s v="Stationery"/>
    <x v="9"/>
    <n v="4"/>
    <n v="357.66"/>
    <n v="0.1"/>
    <n v="1287.58"/>
    <n v="232.92"/>
    <s v="Cash"/>
  </r>
  <r>
    <s v="ORD-01367"/>
    <x v="6"/>
    <s v="CUST-0263"/>
    <s v="Customer 0263"/>
    <s v="Consumer"/>
    <x v="3"/>
    <s v="Odisha"/>
    <s v="Bhubaneswar"/>
    <x v="2"/>
    <s v="Storage"/>
    <x v="2"/>
    <n v="1"/>
    <n v="778.14"/>
    <n v="0.05"/>
    <n v="739.23"/>
    <n v="153.32"/>
    <s v="Net Banking"/>
  </r>
  <r>
    <s v="ORD-01269"/>
    <x v="6"/>
    <s v="CUST-0219"/>
    <s v="Customer 0219"/>
    <s v="Consumer"/>
    <x v="1"/>
    <s v="Tamil Nadu"/>
    <s v="Chennai"/>
    <x v="1"/>
    <s v="Accessories"/>
    <x v="8"/>
    <n v="1"/>
    <n v="1735.25"/>
    <n v="0.15"/>
    <n v="1474.96"/>
    <n v="174.09"/>
    <s v="Cash"/>
  </r>
  <r>
    <s v="ORD-01411"/>
    <x v="6"/>
    <s v="CUST-0280"/>
    <s v="Customer 0280"/>
    <s v="Consumer"/>
    <x v="1"/>
    <s v="Tamil Nadu"/>
    <s v="Chennai"/>
    <x v="1"/>
    <s v="Laptops"/>
    <x v="10"/>
    <n v="1"/>
    <n v="67484.55"/>
    <n v="0.05"/>
    <n v="64110.32"/>
    <n v="12764.74"/>
    <s v="Card"/>
  </r>
  <r>
    <s v="ORD-00161"/>
    <x v="6"/>
    <s v="CUST-0042"/>
    <s v="Customer 0042"/>
    <s v="Consumer"/>
    <x v="2"/>
    <s v="Uttar Pradesh"/>
    <s v="Lucknow"/>
    <x v="1"/>
    <s v="Laptops"/>
    <x v="10"/>
    <n v="2"/>
    <n v="65211.13"/>
    <n v="0.1"/>
    <n v="117380.03"/>
    <n v="19657.3"/>
    <s v="Net Banking"/>
  </r>
  <r>
    <s v="ORD-01150"/>
    <x v="6"/>
    <s v="CUST-0049"/>
    <s v="Customer 0049"/>
    <s v="Consumer"/>
    <x v="3"/>
    <s v="Odisha"/>
    <s v="Bhubaneswar"/>
    <x v="2"/>
    <s v="Storage"/>
    <x v="2"/>
    <n v="4"/>
    <n v="751.35"/>
    <n v="0.1"/>
    <n v="2704.86"/>
    <n v="725.68"/>
    <s v="UPI"/>
  </r>
  <r>
    <s v="ORD-01286"/>
    <x v="7"/>
    <s v="CUST-0112"/>
    <s v="Customer 0112"/>
    <s v="Consumer"/>
    <x v="3"/>
    <s v="West Bengal"/>
    <s v="Kolkata"/>
    <x v="0"/>
    <s v="Tables"/>
    <x v="0"/>
    <n v="2"/>
    <n v="12399.43"/>
    <n v="0.05"/>
    <n v="23558.92"/>
    <n v="2785.61"/>
    <s v="Net Banking"/>
  </r>
  <r>
    <s v="ORD-00730"/>
    <x v="7"/>
    <s v="CUST-0097"/>
    <s v="Customer 0097"/>
    <s v="Corporate"/>
    <x v="1"/>
    <s v="Telangana"/>
    <s v="Hyderabad"/>
    <x v="1"/>
    <s v="Phones"/>
    <x v="11"/>
    <n v="2"/>
    <n v="17316.29"/>
    <n v="0"/>
    <n v="34632.58"/>
    <n v="5362.43"/>
    <s v="Net Banking"/>
  </r>
  <r>
    <s v="ORD-00606"/>
    <x v="7"/>
    <s v="CUST-0242"/>
    <s v="Customer 0242"/>
    <s v="Small Business"/>
    <x v="0"/>
    <s v="Maharashtra"/>
    <s v="Pune"/>
    <x v="1"/>
    <s v="Phones"/>
    <x v="11"/>
    <n v="1"/>
    <n v="18404.2"/>
    <n v="0"/>
    <n v="18404.2"/>
    <n v="2274.9699999999998"/>
    <s v="Cash"/>
  </r>
  <r>
    <s v="ORD-00057"/>
    <x v="7"/>
    <s v="CUST-0235"/>
    <s v="Customer 0235"/>
    <s v="Corporate"/>
    <x v="1"/>
    <s v="Karnataka"/>
    <s v="Bengaluru"/>
    <x v="0"/>
    <s v="Storage"/>
    <x v="4"/>
    <n v="1"/>
    <n v="14442.17"/>
    <n v="0.1"/>
    <n v="12997.95"/>
    <n v="2515.8200000000002"/>
    <s v="Net Banking"/>
  </r>
  <r>
    <s v="ORD-00657"/>
    <x v="7"/>
    <s v="CUST-0032"/>
    <s v="Customer 0032"/>
    <s v="Consumer"/>
    <x v="2"/>
    <s v="Rajasthan"/>
    <s v="Jaipur"/>
    <x v="1"/>
    <s v="Laptops"/>
    <x v="5"/>
    <n v="3"/>
    <n v="50071.41"/>
    <n v="0.05"/>
    <n v="142703.51999999999"/>
    <n v="11568.59"/>
    <s v="Card"/>
  </r>
  <r>
    <s v="ORD-00812"/>
    <x v="7"/>
    <s v="CUST-0168"/>
    <s v="Customer 0168"/>
    <s v="Consumer"/>
    <x v="1"/>
    <s v="Tamil Nadu"/>
    <s v="Chennai"/>
    <x v="1"/>
    <s v="Phones"/>
    <x v="11"/>
    <n v="5"/>
    <n v="17334.580000000002"/>
    <n v="0.05"/>
    <n v="82339.259999999995"/>
    <n v="7865.48"/>
    <s v="UPI"/>
  </r>
  <r>
    <s v="ORD-00382"/>
    <x v="7"/>
    <s v="CUST-0063"/>
    <s v="Customer 0063"/>
    <s v="Consumer"/>
    <x v="2"/>
    <s v="Uttar Pradesh"/>
    <s v="Lucknow"/>
    <x v="0"/>
    <s v="Storage"/>
    <x v="4"/>
    <n v="2"/>
    <n v="14943.19"/>
    <n v="0.15"/>
    <n v="25403.42"/>
    <n v="3363.74"/>
    <s v="UPI"/>
  </r>
  <r>
    <s v="ORD-00237"/>
    <x v="7"/>
    <s v="CUST-0273"/>
    <s v="Customer 0273"/>
    <s v="Corporate"/>
    <x v="1"/>
    <s v="Telangana"/>
    <s v="Hyderabad"/>
    <x v="2"/>
    <s v="Storage"/>
    <x v="2"/>
    <n v="1"/>
    <n v="771.94"/>
    <n v="0.05"/>
    <n v="733.34"/>
    <n v="167.31"/>
    <s v="Net Banking"/>
  </r>
  <r>
    <s v="ORD-00485"/>
    <x v="7"/>
    <s v="CUST-0140"/>
    <s v="Customer 0140"/>
    <s v="Consumer"/>
    <x v="1"/>
    <s v="Telangana"/>
    <s v="Hyderabad"/>
    <x v="0"/>
    <s v="Tables"/>
    <x v="12"/>
    <n v="2"/>
    <n v="6512.55"/>
    <n v="0.05"/>
    <n v="12373.84"/>
    <n v="1689.58"/>
    <s v="Net Banking"/>
  </r>
  <r>
    <s v="ORD-00437"/>
    <x v="8"/>
    <s v="CUST-0111"/>
    <s v="Customer 0111"/>
    <s v="Corporate"/>
    <x v="1"/>
    <s v="Telangana"/>
    <s v="Hyderabad"/>
    <x v="1"/>
    <s v="Laptops"/>
    <x v="5"/>
    <n v="4"/>
    <n v="49056.76"/>
    <n v="0.2"/>
    <n v="156981.63"/>
    <n v="3509.87"/>
    <s v="Card"/>
  </r>
  <r>
    <s v="ORD-00500"/>
    <x v="8"/>
    <s v="CUST-0004"/>
    <s v="Customer 0004"/>
    <s v="Small Business"/>
    <x v="1"/>
    <s v="Telangana"/>
    <s v="Unknown"/>
    <x v="2"/>
    <s v="Paper"/>
    <x v="6"/>
    <n v="1"/>
    <n v="445.73"/>
    <n v="0.05"/>
    <n v="423.44"/>
    <n v="78.31"/>
    <s v="UPI"/>
  </r>
  <r>
    <s v="ORD-00149"/>
    <x v="9"/>
    <s v="CUST-0047"/>
    <s v="Customer 0047"/>
    <s v="Small Business"/>
    <x v="0"/>
    <s v="Maharashtra"/>
    <s v="Mumbai"/>
    <x v="2"/>
    <s v="Paper"/>
    <x v="6"/>
    <n v="2"/>
    <n v="467.29"/>
    <n v="0.15"/>
    <n v="794.39"/>
    <n v="137.16"/>
    <s v="Net Banking"/>
  </r>
  <r>
    <s v="ORD-00673"/>
    <x v="9"/>
    <s v="CUST-0271"/>
    <s v="Customer 0271"/>
    <s v="Consumer"/>
    <x v="2"/>
    <s v="Delhi"/>
    <s v="Delhi"/>
    <x v="1"/>
    <s v="Phones"/>
    <x v="11"/>
    <n v="3"/>
    <n v="18713.310000000001"/>
    <n v="0"/>
    <n v="56139.93"/>
    <n v="7670.33"/>
    <s v="UPI"/>
  </r>
  <r>
    <s v="ORD-01099"/>
    <x v="9"/>
    <s v="CUST-0198"/>
    <s v="Customer 0198"/>
    <s v="Consumer"/>
    <x v="2"/>
    <s v="Rajasthan"/>
    <s v="Jaipur"/>
    <x v="0"/>
    <s v="Tables"/>
    <x v="12"/>
    <n v="4"/>
    <n v="6492.66"/>
    <n v="0.1"/>
    <n v="23373.58"/>
    <n v="5405.39"/>
    <s v="Card"/>
  </r>
  <r>
    <s v="ORD-00774"/>
    <x v="9"/>
    <s v="CUST-0243"/>
    <s v="Customer 0243"/>
    <s v="Consumer"/>
    <x v="3"/>
    <s v="Bihar"/>
    <s v="Patna"/>
    <x v="1"/>
    <s v="Accessories"/>
    <x v="8"/>
    <n v="1"/>
    <n v="1727.81"/>
    <n v="0.15"/>
    <n v="1468.64"/>
    <n v="104.17"/>
    <s v="Cash"/>
  </r>
  <r>
    <s v="ORD-00049"/>
    <x v="9"/>
    <s v="CUST-0240"/>
    <s v="Customer 0240"/>
    <s v="Consumer"/>
    <x v="1"/>
    <s v="Karnataka"/>
    <s v="Bengaluru"/>
    <x v="2"/>
    <s v="Stationery"/>
    <x v="9"/>
    <n v="4"/>
    <n v="365.74"/>
    <n v="0.15"/>
    <n v="1243.52"/>
    <n v="319.76"/>
    <s v="Net Banking"/>
  </r>
  <r>
    <s v="ORD-00074"/>
    <x v="9"/>
    <s v="CUST-0157"/>
    <s v="Customer 0157"/>
    <s v="Consumer"/>
    <x v="0"/>
    <s v="Maharashtra"/>
    <s v="Pune"/>
    <x v="0"/>
    <s v="Chairs"/>
    <x v="7"/>
    <n v="1"/>
    <n v="8707.35"/>
    <n v="0"/>
    <n v="8707.35"/>
    <n v="1091.5999999999999"/>
    <s v="UPI"/>
  </r>
  <r>
    <s v="ORD-00341"/>
    <x v="10"/>
    <s v="CUST-0004"/>
    <s v="Customer 0004"/>
    <s v="Consumer"/>
    <x v="3"/>
    <s v="Odisha"/>
    <s v="Bhubaneswar"/>
    <x v="1"/>
    <s v="Accessories"/>
    <x v="8"/>
    <n v="1"/>
    <n v="1737.89"/>
    <n v="0.15"/>
    <n v="1477.21"/>
    <n v="86.29"/>
    <s v="Net Banking"/>
  </r>
  <r>
    <s v="ORD-00338"/>
    <x v="10"/>
    <s v="CUST-0276"/>
    <s v="Customer 0276"/>
    <s v="Consumer"/>
    <x v="3"/>
    <s v="West Bengal"/>
    <s v="Kolkata"/>
    <x v="0"/>
    <s v="Storage"/>
    <x v="4"/>
    <n v="2"/>
    <n v="14745.5"/>
    <n v="0.05"/>
    <n v="28016.45"/>
    <n v="7112.74"/>
    <s v="Card"/>
  </r>
  <r>
    <s v="ORD-01007"/>
    <x v="11"/>
    <s v="CUST-0136"/>
    <s v="Customer 0136"/>
    <s v="Consumer"/>
    <x v="0"/>
    <s v="Maharashtra"/>
    <s v="Pune"/>
    <x v="1"/>
    <s v="Laptops"/>
    <x v="5"/>
    <n v="1"/>
    <n v="50136.18"/>
    <n v="0.1"/>
    <n v="45122.559999999998"/>
    <n v="3462.37"/>
    <s v="Cash"/>
  </r>
  <r>
    <s v="ORD-00564"/>
    <x v="11"/>
    <s v="CUST-0188"/>
    <s v="Customer 0188"/>
    <s v="Corporate"/>
    <x v="2"/>
    <s v="Delhi"/>
    <s v="Delhi"/>
    <x v="0"/>
    <s v="Chairs"/>
    <x v="7"/>
    <n v="2"/>
    <n v="8273.07"/>
    <n v="0.1"/>
    <n v="14891.53"/>
    <n v="3356.43"/>
    <s v="Net Banking"/>
  </r>
  <r>
    <s v="ORD-01459"/>
    <x v="11"/>
    <s v="CUST-0258"/>
    <s v="Customer 0258"/>
    <s v="Corporate"/>
    <x v="1"/>
    <s v="Tamil Nadu"/>
    <s v="Chennai"/>
    <x v="0"/>
    <s v="Storage"/>
    <x v="4"/>
    <n v="5"/>
    <n v="14381.47"/>
    <n v="0.1"/>
    <n v="64716.61"/>
    <n v="12738.94"/>
    <s v="Card"/>
  </r>
  <r>
    <s v="ORD-01160"/>
    <x v="11"/>
    <s v="CUST-0114"/>
    <s v="Customer 0114"/>
    <s v="Consumer"/>
    <x v="1"/>
    <s v="Tamil Nadu"/>
    <s v="Chennai"/>
    <x v="1"/>
    <s v="Phones"/>
    <x v="1"/>
    <n v="1"/>
    <n v="42184.35"/>
    <n v="0.15"/>
    <n v="35856.699999999997"/>
    <n v="6001.54"/>
    <s v="Cash"/>
  </r>
  <r>
    <s v="ORD-00862"/>
    <x v="12"/>
    <s v="CUST-0188"/>
    <s v="Customer 0188"/>
    <s v="Consumer"/>
    <x v="1"/>
    <s v="Telangana"/>
    <s v="Hyderabad"/>
    <x v="1"/>
    <s v="Phones"/>
    <x v="11"/>
    <n v="1"/>
    <n v="17579.09"/>
    <n v="0.15"/>
    <n v="14942.23"/>
    <n v="958.77"/>
    <s v="Net Banking"/>
  </r>
  <r>
    <s v="ORD-01400"/>
    <x v="12"/>
    <s v="CUST-0118"/>
    <s v="Customer 0118"/>
    <s v="Small Business"/>
    <x v="3"/>
    <s v="West Bengal"/>
    <s v="Kolkata"/>
    <x v="1"/>
    <s v="Accessories"/>
    <x v="8"/>
    <n v="4"/>
    <n v="1799.29"/>
    <n v="0"/>
    <n v="7197.16"/>
    <n v="926.16"/>
    <s v="Net Banking"/>
  </r>
  <r>
    <s v="ORD-00340"/>
    <x v="12"/>
    <s v="CUST-0110"/>
    <s v="Customer 0110"/>
    <s v="Corporate"/>
    <x v="3"/>
    <s v="Bihar"/>
    <s v="Patna"/>
    <x v="0"/>
    <s v="Tables"/>
    <x v="0"/>
    <n v="1"/>
    <n v="12391.94"/>
    <n v="0"/>
    <n v="12391.94"/>
    <n v="2211.9"/>
    <s v="Net Banking"/>
  </r>
  <r>
    <s v="ORD-00859"/>
    <x v="12"/>
    <s v="CUST-0270"/>
    <s v="Customer 0270"/>
    <s v="Small Business"/>
    <x v="3"/>
    <s v="Odisha"/>
    <s v="Bhubaneswar"/>
    <x v="0"/>
    <s v="Chairs"/>
    <x v="7"/>
    <n v="1"/>
    <n v="8197.49"/>
    <n v="0.15"/>
    <n v="6967.87"/>
    <n v="1660.47"/>
    <s v="Cash"/>
  </r>
  <r>
    <s v="ORD-00131"/>
    <x v="13"/>
    <s v="CUST-0018"/>
    <s v="Customer 0018"/>
    <s v="Corporate"/>
    <x v="1"/>
    <s v="Telangana"/>
    <s v="Hyderabad"/>
    <x v="2"/>
    <s v="Storage"/>
    <x v="2"/>
    <n v="3"/>
    <n v="766.19"/>
    <n v="0"/>
    <n v="2298.5700000000002"/>
    <n v="762.68"/>
    <s v="Card"/>
  </r>
  <r>
    <s v="ORD-00126"/>
    <x v="13"/>
    <s v="CUST-0084"/>
    <s v="Customer 0084"/>
    <s v="Corporate"/>
    <x v="3"/>
    <s v="Bihar"/>
    <s v="Patna"/>
    <x v="2"/>
    <s v="Stationery"/>
    <x v="13"/>
    <n v="2"/>
    <n v="598.85"/>
    <n v="0.15"/>
    <n v="1018.04"/>
    <n v="139.47"/>
    <s v="Cash"/>
  </r>
  <r>
    <s v="ORD-01264"/>
    <x v="13"/>
    <s v="CUST-0032"/>
    <s v="Customer 0032"/>
    <s v="Corporate"/>
    <x v="2"/>
    <s v="Uttar Pradesh"/>
    <s v="Lucknow"/>
    <x v="1"/>
    <s v="Laptops"/>
    <x v="10"/>
    <n v="4"/>
    <n v="66964.160000000003"/>
    <n v="0"/>
    <n v="267856.64000000001"/>
    <n v="56937.07"/>
    <s v="UPI"/>
  </r>
  <r>
    <s v="ORD-00167"/>
    <x v="13"/>
    <s v="CUST-0178"/>
    <s v="Customer 0178"/>
    <s v="Consumer"/>
    <x v="0"/>
    <s v="Maharashtra"/>
    <s v="Pune"/>
    <x v="0"/>
    <s v="Chairs"/>
    <x v="7"/>
    <n v="4"/>
    <n v="8240.43"/>
    <n v="0.05"/>
    <n v="31313.63"/>
    <n v="5281.51"/>
    <s v="Cash"/>
  </r>
  <r>
    <s v="ORD-01228"/>
    <x v="14"/>
    <s v="CUST-0203"/>
    <s v="Customer 0203"/>
    <s v="Consumer"/>
    <x v="3"/>
    <s v="Odisha"/>
    <s v="Bhubaneswar"/>
    <x v="1"/>
    <s v="Laptops"/>
    <x v="5"/>
    <n v="2"/>
    <n v="50226.12"/>
    <n v="0.1"/>
    <n v="90407.02"/>
    <n v="16821.580000000002"/>
    <s v="Net Banking"/>
  </r>
  <r>
    <s v="ORD-00589"/>
    <x v="14"/>
    <s v="CUST-0053"/>
    <s v="Customer 0053"/>
    <s v="Consumer"/>
    <x v="0"/>
    <s v="Maharashtra"/>
    <s v="Pune"/>
    <x v="1"/>
    <s v="Phones"/>
    <x v="1"/>
    <n v="2"/>
    <n v="43534.239999999998"/>
    <n v="0.15"/>
    <n v="74008.210000000006"/>
    <n v="9037.58"/>
    <s v="Cash"/>
  </r>
  <r>
    <s v="ORD-00980"/>
    <x v="14"/>
    <s v="CUST-0214"/>
    <s v="Customer 0214"/>
    <s v="Consumer"/>
    <x v="1"/>
    <s v="Tamil Nadu"/>
    <s v="Chennai"/>
    <x v="0"/>
    <s v="Tables"/>
    <x v="0"/>
    <n v="1"/>
    <n v="11970.74"/>
    <n v="0"/>
    <n v="11970.74"/>
    <n v="2249.34"/>
    <s v="Card"/>
  </r>
  <r>
    <s v="ORD-01186"/>
    <x v="14"/>
    <s v="CUST-0218"/>
    <s v="Customer 0218"/>
    <s v="Corporate"/>
    <x v="1"/>
    <s v="Telangana"/>
    <s v="Hyderabad"/>
    <x v="0"/>
    <s v="Tables"/>
    <x v="0"/>
    <n v="2"/>
    <n v="12545.24"/>
    <n v="0.05"/>
    <n v="23835.96"/>
    <n v="3432.85"/>
    <s v="Cash"/>
  </r>
  <r>
    <s v="ORD-00073"/>
    <x v="14"/>
    <s v="CUST-0104"/>
    <s v="Customer 0104"/>
    <s v="Consumer"/>
    <x v="3"/>
    <s v="Bihar"/>
    <s v="Patna"/>
    <x v="1"/>
    <s v="Laptops"/>
    <x v="5"/>
    <n v="2"/>
    <n v="47197.52"/>
    <n v="0.05"/>
    <n v="89675.29"/>
    <n v="15119.74"/>
    <s v="Cash"/>
  </r>
  <r>
    <s v="ORD-00911"/>
    <x v="15"/>
    <s v="CUST-0105"/>
    <s v="Customer 0105"/>
    <s v="Corporate"/>
    <x v="1"/>
    <s v="Telangana"/>
    <s v="Hyderabad"/>
    <x v="2"/>
    <s v="Stationery"/>
    <x v="9"/>
    <n v="1"/>
    <n v="360.24"/>
    <n v="0"/>
    <n v="360.24"/>
    <n v="117.98"/>
    <s v="Cash"/>
  </r>
  <r>
    <s v="ORD-00893"/>
    <x v="15"/>
    <s v="CUST-0011"/>
    <s v="Customer 0011"/>
    <s v="Corporate"/>
    <x v="2"/>
    <s v="Delhi"/>
    <s v="Delhi"/>
    <x v="1"/>
    <s v="Phones"/>
    <x v="1"/>
    <n v="5"/>
    <n v="40822.400000000001"/>
    <n v="0.05"/>
    <n v="193906.4"/>
    <n v="31095.85"/>
    <s v="Cash"/>
  </r>
  <r>
    <s v="ORD-01445"/>
    <x v="15"/>
    <s v="CUST-0245"/>
    <s v="Customer 0245"/>
    <s v="Corporate"/>
    <x v="2"/>
    <s v="Delhi"/>
    <s v="Delhi"/>
    <x v="1"/>
    <s v="Accessories"/>
    <x v="8"/>
    <n v="1"/>
    <n v="1832.93"/>
    <n v="0"/>
    <n v="1832.93"/>
    <n v="211.06"/>
    <s v="UPI"/>
  </r>
  <r>
    <s v="ORD-00300"/>
    <x v="15"/>
    <s v="CUST-0069"/>
    <s v="Customer 0069"/>
    <s v="Consumer"/>
    <x v="2"/>
    <s v="Uttar Pradesh"/>
    <s v="Lucknow"/>
    <x v="1"/>
    <s v="Laptops"/>
    <x v="10"/>
    <n v="4"/>
    <n v="64511.01"/>
    <n v="0.05"/>
    <n v="245141.84"/>
    <n v="23946.560000000001"/>
    <s v="Card"/>
  </r>
  <r>
    <s v="ORD-00781"/>
    <x v="15"/>
    <s v="CUST-0072"/>
    <s v="Customer 0072"/>
    <s v="Small Business"/>
    <x v="3"/>
    <s v="Odisha"/>
    <s v="Bhubaneswar"/>
    <x v="2"/>
    <s v="Stationery"/>
    <x v="9"/>
    <n v="4"/>
    <n v="347.48"/>
    <n v="0.2"/>
    <n v="1111.94"/>
    <n v="153.63"/>
    <s v="Card"/>
  </r>
  <r>
    <s v="ORD-01180"/>
    <x v="15"/>
    <s v="CUST-0139"/>
    <s v="Customer 0139"/>
    <s v="Small Business"/>
    <x v="2"/>
    <s v="Uttar Pradesh"/>
    <s v="Lucknow"/>
    <x v="1"/>
    <s v="Phones"/>
    <x v="11"/>
    <n v="3"/>
    <n v="17700.689999999999"/>
    <n v="0.15"/>
    <n v="45136.76"/>
    <n v="9028.67"/>
    <s v="Card"/>
  </r>
  <r>
    <s v="ORD-00584"/>
    <x v="15"/>
    <s v="CUST-0011"/>
    <s v="Customer 0011"/>
    <s v="Consumer"/>
    <x v="0"/>
    <s v="Maharashtra"/>
    <s v="Pune"/>
    <x v="2"/>
    <s v="Paper"/>
    <x v="6"/>
    <n v="1"/>
    <n v="441.32"/>
    <n v="0.05"/>
    <n v="419.25"/>
    <n v="62.05"/>
    <s v="Net Banking"/>
  </r>
  <r>
    <s v="ORD-01469"/>
    <x v="15"/>
    <s v="CUST-0015"/>
    <s v="Customer 0015"/>
    <s v="Consumer"/>
    <x v="0"/>
    <s v="Gujarat"/>
    <s v="Ahmedabad"/>
    <x v="1"/>
    <s v="Laptops"/>
    <x v="10"/>
    <n v="1"/>
    <n v="63445.4"/>
    <n v="0.15"/>
    <n v="53928.59"/>
    <n v="8990.4"/>
    <s v="Cash"/>
  </r>
  <r>
    <s v="ORD-00113"/>
    <x v="16"/>
    <s v="CUST-0258"/>
    <s v="Customer 0258"/>
    <s v="Small Business"/>
    <x v="2"/>
    <s v="Uttar Pradesh"/>
    <s v="Lucknow"/>
    <x v="1"/>
    <s v="Laptops"/>
    <x v="5"/>
    <n v="2"/>
    <n v="46977.78"/>
    <n v="0"/>
    <n v="93955.56"/>
    <n v="15631.36"/>
    <s v="Net Banking"/>
  </r>
  <r>
    <s v="ORD-00173"/>
    <x v="16"/>
    <s v="CUST-0101"/>
    <s v="Customer 0101"/>
    <s v="Consumer"/>
    <x v="2"/>
    <s v="Delhi"/>
    <s v="Delhi"/>
    <x v="0"/>
    <s v="Chairs"/>
    <x v="7"/>
    <n v="1"/>
    <n v="8635.18"/>
    <n v="0.1"/>
    <n v="7771.66"/>
    <n v="1831.83"/>
    <s v="UPI"/>
  </r>
  <r>
    <s v="ORD-01047"/>
    <x v="16"/>
    <s v="CUST-0113"/>
    <s v="Customer 0113"/>
    <s v="Corporate"/>
    <x v="1"/>
    <s v="Telangana"/>
    <s v="Hyderabad"/>
    <x v="1"/>
    <s v="Accessories"/>
    <x v="3"/>
    <n v="2"/>
    <n v="1189.3499999999999"/>
    <n v="0.1"/>
    <n v="2140.83"/>
    <n v="281.62"/>
    <s v="Card"/>
  </r>
  <r>
    <s v="ORD-01171"/>
    <x v="16"/>
    <s v="CUST-0140"/>
    <s v="Customer 0140"/>
    <s v="Corporate"/>
    <x v="0"/>
    <s v="Maharashtra"/>
    <s v="Mumbai"/>
    <x v="1"/>
    <s v="Accessories"/>
    <x v="3"/>
    <n v="1"/>
    <n v="1217.82"/>
    <n v="0.05"/>
    <n v="1156.93"/>
    <n v="91.13"/>
    <s v="UPI"/>
  </r>
  <r>
    <s v="ORD-01424"/>
    <x v="16"/>
    <s v="CUST-0142"/>
    <s v="Customer 0142"/>
    <s v="Small Business"/>
    <x v="2"/>
    <s v="Uttar Pradesh"/>
    <s v="Lucknow"/>
    <x v="1"/>
    <s v="Accessories"/>
    <x v="3"/>
    <n v="2"/>
    <n v="1257.3599999999999"/>
    <n v="0.1"/>
    <n v="2263.25"/>
    <n v="384.1"/>
    <s v="Cash"/>
  </r>
  <r>
    <s v="ORD-00455"/>
    <x v="17"/>
    <s v="CUST-0228"/>
    <s v="Customer 0228"/>
    <s v="Small Business"/>
    <x v="0"/>
    <s v="Maharashtra"/>
    <s v="Pune"/>
    <x v="0"/>
    <s v="Tables"/>
    <x v="12"/>
    <n v="1"/>
    <n v="6662.67"/>
    <n v="0"/>
    <n v="6662.67"/>
    <n v="1092.1500000000001"/>
    <s v="Card"/>
  </r>
  <r>
    <s v="ORD-00790"/>
    <x v="17"/>
    <s v="CUST-0200"/>
    <s v="Customer 0200"/>
    <s v="Corporate"/>
    <x v="2"/>
    <s v="Delhi"/>
    <s v="Delhi"/>
    <x v="1"/>
    <s v="Accessories"/>
    <x v="8"/>
    <n v="1"/>
    <n v="1721.86"/>
    <n v="0.1"/>
    <n v="1549.67"/>
    <n v="134.19"/>
    <s v="UPI"/>
  </r>
  <r>
    <s v="ORD-00938"/>
    <x v="17"/>
    <s v="CUST-0144"/>
    <s v="Customer 0144"/>
    <s v="Consumer"/>
    <x v="0"/>
    <s v="Maharashtra"/>
    <s v="Pune"/>
    <x v="1"/>
    <s v="Accessories"/>
    <x v="8"/>
    <n v="1"/>
    <n v="1794.54"/>
    <n v="0.1"/>
    <n v="1615.09"/>
    <n v="259.95999999999998"/>
    <s v="Net Banking"/>
  </r>
  <r>
    <s v="ORD-01303"/>
    <x v="18"/>
    <s v="CUST-0210"/>
    <s v="Customer 0210"/>
    <s v="Small Business"/>
    <x v="0"/>
    <s v="Gujarat"/>
    <s v="Ahmedabad"/>
    <x v="2"/>
    <s v="Stationery"/>
    <x v="9"/>
    <n v="1"/>
    <n v="339.73"/>
    <n v="0"/>
    <n v="339.73"/>
    <n v="85.53"/>
    <s v="UPI"/>
  </r>
  <r>
    <s v="ORD-01304"/>
    <x v="18"/>
    <s v="CUST-0102"/>
    <s v="Customer 0102"/>
    <s v="Small Business"/>
    <x v="1"/>
    <s v="Telangana"/>
    <s v="Hyderabad"/>
    <x v="1"/>
    <s v="Phones"/>
    <x v="1"/>
    <n v="3"/>
    <n v="40413.46"/>
    <n v="0.1"/>
    <n v="109116.34"/>
    <n v="20831.47"/>
    <s v="Net Banking"/>
  </r>
  <r>
    <s v="ORD-01306"/>
    <x v="18"/>
    <s v="CUST-0208"/>
    <s v="Customer 0208"/>
    <s v="Consumer"/>
    <x v="1"/>
    <s v="Karnataka"/>
    <s v="Bengaluru"/>
    <x v="1"/>
    <s v="Accessories"/>
    <x v="8"/>
    <n v="4"/>
    <n v="1832.14"/>
    <n v="0"/>
    <n v="7328.56"/>
    <n v="1183.98"/>
    <s v="Card"/>
  </r>
  <r>
    <s v="ORD-00808"/>
    <x v="18"/>
    <s v="CUST-0022"/>
    <s v="Customer 0022"/>
    <s v="Small Business"/>
    <x v="3"/>
    <s v="Bihar"/>
    <s v="Patna"/>
    <x v="2"/>
    <s v="Stationery"/>
    <x v="9"/>
    <n v="1"/>
    <n v="335.66"/>
    <n v="0.1"/>
    <n v="302.08999999999997"/>
    <n v="78.23"/>
    <s v="Cash"/>
  </r>
  <r>
    <s v="ORD-00369"/>
    <x v="19"/>
    <s v="CUST-0163"/>
    <s v="Customer 0163"/>
    <s v="Consumer"/>
    <x v="1"/>
    <s v="Karnataka"/>
    <s v="Bengaluru"/>
    <x v="1"/>
    <s v="Accessories"/>
    <x v="3"/>
    <n v="3"/>
    <n v="1190.49"/>
    <n v="0"/>
    <n v="3571.47"/>
    <n v="586.55999999999995"/>
    <s v="Card"/>
  </r>
  <r>
    <s v="ORD-01417"/>
    <x v="19"/>
    <s v="CUST-0250"/>
    <s v="Customer 0250"/>
    <s v="Corporate"/>
    <x v="2"/>
    <s v="Rajasthan"/>
    <s v="Jaipur"/>
    <x v="0"/>
    <s v="Tables"/>
    <x v="0"/>
    <n v="2"/>
    <n v="11823.02"/>
    <n v="0.05"/>
    <n v="22463.74"/>
    <n v="4877.34"/>
    <s v="UPI"/>
  </r>
  <r>
    <s v="ORD-01471"/>
    <x v="19"/>
    <s v="CUST-0063"/>
    <s v="Customer 0063"/>
    <s v="Consumer"/>
    <x v="1"/>
    <s v="Karnataka"/>
    <s v="Bengaluru"/>
    <x v="2"/>
    <s v="Paper"/>
    <x v="6"/>
    <n v="1"/>
    <n v="460.73"/>
    <n v="0"/>
    <n v="460.73"/>
    <n v="142.38"/>
    <s v="Cash"/>
  </r>
  <r>
    <s v="ORD-01262"/>
    <x v="19"/>
    <s v="CUST-0251"/>
    <s v="Customer 0251"/>
    <s v="Consumer"/>
    <x v="3"/>
    <s v="Odisha"/>
    <s v="Bhubaneswar"/>
    <x v="2"/>
    <s v="Storage"/>
    <x v="2"/>
    <n v="1"/>
    <n v="757.23"/>
    <n v="0.15"/>
    <n v="643.65"/>
    <n v="116.11"/>
    <s v="UPI"/>
  </r>
  <r>
    <s v="ORD-00334"/>
    <x v="19"/>
    <s v="CUST-0142"/>
    <s v="Customer 0142"/>
    <s v="Consumer"/>
    <x v="0"/>
    <s v="Maharashtra"/>
    <s v="Mumbai"/>
    <x v="0"/>
    <s v="Storage"/>
    <x v="4"/>
    <n v="3"/>
    <n v="14023.58"/>
    <n v="0"/>
    <n v="42070.74"/>
    <n v="8101.67"/>
    <s v="Card"/>
  </r>
  <r>
    <s v="ORD-01132"/>
    <x v="20"/>
    <s v="CUST-0254"/>
    <s v="Customer 0254"/>
    <s v="Consumer"/>
    <x v="1"/>
    <s v="Karnataka"/>
    <s v="Bengaluru"/>
    <x v="0"/>
    <s v="Tables"/>
    <x v="12"/>
    <n v="3"/>
    <n v="6376.83"/>
    <n v="0.1"/>
    <n v="17217.439999999999"/>
    <n v="4616.88"/>
    <s v="Card"/>
  </r>
  <r>
    <s v="ORD-01433"/>
    <x v="20"/>
    <s v="CUST-0227"/>
    <s v="Customer 0227"/>
    <s v="Consumer"/>
    <x v="2"/>
    <s v="Rajasthan"/>
    <s v="Jaipur"/>
    <x v="1"/>
    <s v="Laptops"/>
    <x v="5"/>
    <n v="3"/>
    <n v="46195.67"/>
    <n v="0.05"/>
    <n v="131657.66"/>
    <n v="17294.439999999999"/>
    <s v="Card"/>
  </r>
  <r>
    <s v="ORD-00857"/>
    <x v="20"/>
    <s v="CUST-0095"/>
    <s v="Customer 0095"/>
    <s v="Small Business"/>
    <x v="2"/>
    <s v="Rajasthan"/>
    <s v="Jaipur"/>
    <x v="1"/>
    <s v="Laptops"/>
    <x v="5"/>
    <n v="1"/>
    <n v="48013.65"/>
    <n v="0.1"/>
    <n v="43212.29"/>
    <n v="2320.83"/>
    <s v="Cash"/>
  </r>
  <r>
    <s v="ORD-01443"/>
    <x v="20"/>
    <s v="CUST-0284"/>
    <s v="Customer 0284"/>
    <s v="Corporate"/>
    <x v="0"/>
    <s v="Maharashtra"/>
    <s v="Pune"/>
    <x v="2"/>
    <s v="Paper"/>
    <x v="6"/>
    <n v="2"/>
    <n v="458.79"/>
    <n v="0"/>
    <n v="917.58"/>
    <n v="273.64"/>
    <s v="Card"/>
  </r>
  <r>
    <s v="ORD-00316"/>
    <x v="21"/>
    <s v="CUST-0139"/>
    <s v="Customer 0139"/>
    <s v="Consumer"/>
    <x v="3"/>
    <s v="West Bengal"/>
    <s v="Kolkata"/>
    <x v="1"/>
    <s v="Phones"/>
    <x v="1"/>
    <n v="2"/>
    <n v="43687.45"/>
    <n v="0.15"/>
    <n v="74268.66"/>
    <n v="6756.57"/>
    <s v="Card"/>
  </r>
  <r>
    <s v="ORD-00249"/>
    <x v="21"/>
    <s v="CUST-0054"/>
    <s v="Customer 0054"/>
    <s v="Consumer"/>
    <x v="1"/>
    <s v="Tamil Nadu"/>
    <s v="Chennai"/>
    <x v="1"/>
    <s v="Phones"/>
    <x v="11"/>
    <n v="3"/>
    <n v="18385.11"/>
    <n v="0"/>
    <n v="55155.33"/>
    <n v="10763.83"/>
    <s v="Card"/>
  </r>
  <r>
    <s v="ORD-00748"/>
    <x v="21"/>
    <s v="CUST-0017"/>
    <s v="Customer 0017"/>
    <s v="Consumer"/>
    <x v="0"/>
    <s v="Maharashtra"/>
    <s v="Mumbai"/>
    <x v="0"/>
    <s v="Chairs"/>
    <x v="7"/>
    <n v="3"/>
    <n v="8625.83"/>
    <n v="0.15"/>
    <n v="21995.87"/>
    <n v="3114.08"/>
    <s v="UPI"/>
  </r>
  <r>
    <s v="ORD-00248"/>
    <x v="22"/>
    <s v="CUST-0295"/>
    <s v="Customer 0295"/>
    <s v="Consumer"/>
    <x v="2"/>
    <s v="Uttar Pradesh"/>
    <s v="Lucknow"/>
    <x v="1"/>
    <s v="Accessories"/>
    <x v="3"/>
    <n v="3"/>
    <n v="1212.42"/>
    <n v="0.2"/>
    <n v="2909.81"/>
    <n v="12.75"/>
    <s v="Net Banking"/>
  </r>
  <r>
    <s v="ORD-01410"/>
    <x v="22"/>
    <s v="CUST-0288"/>
    <s v="Customer 0288"/>
    <s v="Consumer"/>
    <x v="1"/>
    <s v="Karnataka"/>
    <s v="Bengaluru"/>
    <x v="1"/>
    <s v="Laptops"/>
    <x v="10"/>
    <n v="3"/>
    <n v="63799.17"/>
    <n v="0.1"/>
    <n v="172257.76"/>
    <n v="23368.240000000002"/>
    <s v="Card"/>
  </r>
  <r>
    <s v="ORD-01319"/>
    <x v="22"/>
    <s v="CUST-0115"/>
    <s v="Customer 0115"/>
    <s v="Consumer"/>
    <x v="0"/>
    <s v="Maharashtra"/>
    <s v="Pune"/>
    <x v="0"/>
    <s v="Tables"/>
    <x v="12"/>
    <n v="5"/>
    <n v="6723.38"/>
    <n v="0.15"/>
    <n v="28574.37"/>
    <n v="4496.51"/>
    <s v="Card"/>
  </r>
  <r>
    <s v="ORD-00835"/>
    <x v="22"/>
    <s v="CUST-0275"/>
    <s v="Customer 0275"/>
    <s v="Consumer"/>
    <x v="1"/>
    <s v="Telangana"/>
    <s v="Hyderabad"/>
    <x v="1"/>
    <s v="Accessories"/>
    <x v="8"/>
    <n v="2"/>
    <n v="1810.59"/>
    <n v="0.1"/>
    <n v="3259.06"/>
    <n v="536.27"/>
    <s v="Card"/>
  </r>
  <r>
    <s v="ORD-01426"/>
    <x v="22"/>
    <s v="CUST-0188"/>
    <s v="Customer 0188"/>
    <s v="Corporate"/>
    <x v="3"/>
    <s v="Bihar"/>
    <s v="Patna"/>
    <x v="0"/>
    <s v="Tables"/>
    <x v="12"/>
    <n v="3"/>
    <n v="6719.01"/>
    <n v="0"/>
    <n v="20157.03"/>
    <n v="3353.93"/>
    <s v="Card"/>
  </r>
  <r>
    <s v="ORD-00546"/>
    <x v="23"/>
    <s v="CUST-0105"/>
    <s v="Customer 0105"/>
    <s v="Consumer"/>
    <x v="3"/>
    <s v="West Bengal"/>
    <s v="Kolkata"/>
    <x v="0"/>
    <s v="Storage"/>
    <x v="4"/>
    <n v="3"/>
    <n v="14116.31"/>
    <n v="0"/>
    <n v="42348.93"/>
    <n v="8431.64"/>
    <s v="Cash"/>
  </r>
  <r>
    <s v="ORD-00458"/>
    <x v="23"/>
    <s v="CUST-0184"/>
    <s v="Customer 0184"/>
    <s v="Small Business"/>
    <x v="2"/>
    <s v="Rajasthan"/>
    <s v="Jaipur"/>
    <x v="1"/>
    <s v="Phones"/>
    <x v="1"/>
    <n v="1"/>
    <n v="39902.51"/>
    <n v="0.15"/>
    <n v="33917.129999999997"/>
    <n v="3359.53"/>
    <s v="Net Banking"/>
  </r>
  <r>
    <s v="ORD-00971"/>
    <x v="23"/>
    <s v="CUST-0231"/>
    <s v="Customer 0231"/>
    <s v="Consumer"/>
    <x v="1"/>
    <s v="Tamil Nadu"/>
    <s v="Chennai"/>
    <x v="1"/>
    <s v="Phones"/>
    <x v="1"/>
    <n v="2"/>
    <n v="44009.68"/>
    <n v="0"/>
    <n v="88019.36"/>
    <n v="14292.65"/>
    <s v="Cash"/>
  </r>
  <r>
    <s v="ORD-00576"/>
    <x v="24"/>
    <s v="CUST-0101"/>
    <s v="Customer 0101"/>
    <s v="Small Business"/>
    <x v="0"/>
    <s v="Gujarat"/>
    <s v="Ahmedabad"/>
    <x v="1"/>
    <s v="Laptops"/>
    <x v="5"/>
    <n v="1"/>
    <n v="47805.9"/>
    <n v="0.1"/>
    <n v="43025.31"/>
    <n v="5939.65"/>
    <s v="Card"/>
  </r>
  <r>
    <s v="ORD-01149"/>
    <x v="24"/>
    <s v="CUST-0187"/>
    <s v="Customer 0187"/>
    <s v="Small Business"/>
    <x v="0"/>
    <s v="Maharashtra"/>
    <s v="Pune"/>
    <x v="2"/>
    <s v="Stationery"/>
    <x v="9"/>
    <n v="5"/>
    <n v="361.98"/>
    <n v="0"/>
    <n v="1809.9"/>
    <n v="569.4"/>
    <s v="Card"/>
  </r>
  <r>
    <s v="ORD-00163"/>
    <x v="24"/>
    <s v="CUST-0110"/>
    <s v="Customer 0110"/>
    <s v="Small Business"/>
    <x v="3"/>
    <s v="Bihar"/>
    <s v="Patna"/>
    <x v="0"/>
    <s v="Storage"/>
    <x v="4"/>
    <n v="4"/>
    <n v="15156.56"/>
    <n v="0.05"/>
    <n v="57594.93"/>
    <n v="13748.1"/>
    <s v="Cash"/>
  </r>
  <r>
    <s v="ORD-00689"/>
    <x v="25"/>
    <s v="CUST-0192"/>
    <s v="Customer 0192"/>
    <s v="Corporate"/>
    <x v="2"/>
    <s v="Delhi"/>
    <s v="Delhi"/>
    <x v="1"/>
    <s v="Accessories"/>
    <x v="8"/>
    <n v="2"/>
    <n v="1841.57"/>
    <n v="0.05"/>
    <n v="3498.98"/>
    <n v="371.13"/>
    <s v="Card"/>
  </r>
  <r>
    <s v="ORD-00476"/>
    <x v="25"/>
    <s v="CUST-0134"/>
    <s v="Customer 0134"/>
    <s v="Corporate"/>
    <x v="1"/>
    <s v="Karnataka"/>
    <s v="Bengaluru"/>
    <x v="0"/>
    <s v="Chairs"/>
    <x v="7"/>
    <n v="1"/>
    <n v="8538.84"/>
    <n v="0.1"/>
    <n v="7684.96"/>
    <n v="1040.18"/>
    <s v="UPI"/>
  </r>
  <r>
    <s v="ORD-01240"/>
    <x v="25"/>
    <s v="CUST-0271"/>
    <s v="Customer 0271"/>
    <s v="Consumer"/>
    <x v="0"/>
    <s v="Gujarat"/>
    <s v="Ahmedabad"/>
    <x v="1"/>
    <s v="Accessories"/>
    <x v="8"/>
    <n v="1"/>
    <n v="1863.19"/>
    <n v="0.1"/>
    <n v="1676.87"/>
    <n v="295.31"/>
    <s v="Cash"/>
  </r>
  <r>
    <s v="ORD-01258"/>
    <x v="25"/>
    <s v="CUST-0232"/>
    <s v="Customer 0232"/>
    <s v="Consumer"/>
    <x v="1"/>
    <s v="Karnataka"/>
    <s v="Bengaluru"/>
    <x v="0"/>
    <s v="Storage"/>
    <x v="4"/>
    <n v="3"/>
    <n v="14587.76"/>
    <n v="0"/>
    <n v="43763.28"/>
    <n v="12122.98"/>
    <s v="UPI"/>
  </r>
  <r>
    <s v="ORD-00811"/>
    <x v="25"/>
    <s v="CUST-0252"/>
    <s v="Customer 0252"/>
    <s v="Consumer"/>
    <x v="1"/>
    <s v="Tamil Nadu"/>
    <s v="Chennai"/>
    <x v="1"/>
    <s v="Phones"/>
    <x v="11"/>
    <n v="1"/>
    <n v="17780.89"/>
    <n v="0.1"/>
    <n v="16002.8"/>
    <n v="1928.09"/>
    <s v="Cash"/>
  </r>
  <r>
    <s v="ORD-00870"/>
    <x v="25"/>
    <s v="CUST-0219"/>
    <s v="Customer 0219"/>
    <s v="Consumer"/>
    <x v="1"/>
    <s v="Telangana"/>
    <s v="Hyderabad"/>
    <x v="2"/>
    <s v="Paper"/>
    <x v="6"/>
    <n v="2"/>
    <n v="472.36"/>
    <n v="0"/>
    <n v="944.72"/>
    <n v="222.11"/>
    <s v="Card"/>
  </r>
  <r>
    <s v="ORD-00846"/>
    <x v="25"/>
    <s v="CUST-0144"/>
    <s v="Customer 0144"/>
    <s v="Small Business"/>
    <x v="2"/>
    <s v="Uttar Pradesh"/>
    <s v="Lucknow"/>
    <x v="1"/>
    <s v="Accessories"/>
    <x v="8"/>
    <n v="1"/>
    <n v="1771.01"/>
    <n v="0.15"/>
    <n v="1505.36"/>
    <n v="79.569999999999993"/>
    <s v="UPI"/>
  </r>
  <r>
    <s v="ORD-00327"/>
    <x v="26"/>
    <s v="CUST-0104"/>
    <s v="Customer 0104"/>
    <s v="Corporate"/>
    <x v="1"/>
    <s v="Karnataka"/>
    <s v="Bengaluru"/>
    <x v="0"/>
    <s v="Chairs"/>
    <x v="7"/>
    <n v="1"/>
    <n v="8765.81"/>
    <n v="0.1"/>
    <n v="7889.23"/>
    <n v="1569.27"/>
    <s v="Net Banking"/>
  </r>
  <r>
    <s v="ORD-00517"/>
    <x v="26"/>
    <s v="CUST-0109"/>
    <s v="Customer 0109"/>
    <s v="Consumer"/>
    <x v="1"/>
    <s v="Karnataka"/>
    <s v="Bengaluru"/>
    <x v="1"/>
    <s v="Accessories"/>
    <x v="3"/>
    <n v="1"/>
    <n v="1217.8"/>
    <n v="0"/>
    <n v="1217.8"/>
    <n v="184.56"/>
    <s v="Net Banking"/>
  </r>
  <r>
    <s v="ORD-00117"/>
    <x v="26"/>
    <s v="CUST-0039"/>
    <s v="Customer 0039"/>
    <s v="Consumer"/>
    <x v="3"/>
    <s v="Bihar"/>
    <s v="Patna"/>
    <x v="2"/>
    <s v="Storage"/>
    <x v="2"/>
    <n v="4"/>
    <n v="775.5"/>
    <n v="0.05"/>
    <n v="2946.9"/>
    <n v="874.31"/>
    <s v="Cash"/>
  </r>
  <r>
    <s v="ORD-00943"/>
    <x v="26"/>
    <s v="CUST-0209"/>
    <s v="Customer 0209"/>
    <s v="Small Business"/>
    <x v="1"/>
    <s v="Telangana"/>
    <s v="Hyderabad"/>
    <x v="1"/>
    <s v="Phones"/>
    <x v="11"/>
    <n v="1"/>
    <n v="17194.04"/>
    <n v="0.05"/>
    <n v="16334.34"/>
    <n v="1309.04"/>
    <s v="Net Banking"/>
  </r>
  <r>
    <s v="ORD-00648"/>
    <x v="27"/>
    <s v="CUST-0077"/>
    <s v="Customer 0077"/>
    <s v="Small Business"/>
    <x v="3"/>
    <s v="West Bengal"/>
    <s v="Kolkata"/>
    <x v="1"/>
    <s v="Phones"/>
    <x v="11"/>
    <n v="1"/>
    <n v="18789.21"/>
    <n v="0"/>
    <n v="18789.21"/>
    <n v="1953.18"/>
    <s v="Cash"/>
  </r>
  <r>
    <s v="ORD-01057"/>
    <x v="27"/>
    <s v="CUST-0276"/>
    <s v="Customer 0276"/>
    <s v="Small Business"/>
    <x v="1"/>
    <s v="Telangana"/>
    <s v="Hyderabad"/>
    <x v="1"/>
    <s v="Accessories"/>
    <x v="3"/>
    <n v="4"/>
    <n v="1160.83"/>
    <n v="0.05"/>
    <n v="4411.1499999999996"/>
    <n v="889.47"/>
    <s v="Card"/>
  </r>
  <r>
    <s v="ORD-00990"/>
    <x v="27"/>
    <s v="CUST-0250"/>
    <s v="Customer 0250"/>
    <s v="Consumer"/>
    <x v="1"/>
    <s v="Karnataka"/>
    <s v="Bengaluru"/>
    <x v="2"/>
    <s v="Paper"/>
    <x v="6"/>
    <n v="3"/>
    <n v="462.56"/>
    <n v="0.1"/>
    <n v="1248.9100000000001"/>
    <n v="338.94"/>
    <s v="Card"/>
  </r>
  <r>
    <s v="ORD-01444"/>
    <x v="27"/>
    <s v="CUST-0076"/>
    <s v="Customer 0076"/>
    <s v="Consumer"/>
    <x v="3"/>
    <s v="Bihar"/>
    <s v="Patna"/>
    <x v="1"/>
    <s v="Phones"/>
    <x v="11"/>
    <n v="1"/>
    <n v="18108.82"/>
    <n v="0.15"/>
    <n v="15392.5"/>
    <n v="1981.74"/>
    <s v="Cash"/>
  </r>
  <r>
    <s v="ORD-00501"/>
    <x v="27"/>
    <s v="CUST-0063"/>
    <s v="Customer 0063"/>
    <s v="Corporate"/>
    <x v="3"/>
    <s v="Bihar"/>
    <s v="Patna"/>
    <x v="1"/>
    <s v="Phones"/>
    <x v="1"/>
    <n v="1"/>
    <n v="41954.75"/>
    <n v="0.1"/>
    <n v="37759.279999999999"/>
    <n v="3119.09"/>
    <s v="Card"/>
  </r>
  <r>
    <s v="ORD-01288"/>
    <x v="27"/>
    <s v="CUST-0254"/>
    <s v="Customer 0254"/>
    <s v="Consumer"/>
    <x v="2"/>
    <s v="Uttar Pradesh"/>
    <s v="Lucknow"/>
    <x v="0"/>
    <s v="Tables"/>
    <x v="12"/>
    <n v="5"/>
    <n v="6368.27"/>
    <n v="0.15"/>
    <n v="27065.15"/>
    <n v="3569.4"/>
    <s v="Card"/>
  </r>
  <r>
    <s v="ORD-01082"/>
    <x v="28"/>
    <s v="CUST-0173"/>
    <s v="Customer 0173"/>
    <s v="Small Business"/>
    <x v="3"/>
    <s v="Bihar"/>
    <s v="Patna"/>
    <x v="0"/>
    <s v="Storage"/>
    <x v="4"/>
    <n v="1"/>
    <n v="14346.13"/>
    <n v="0.1"/>
    <n v="12911.52"/>
    <n v="1824.41"/>
    <s v="Cash"/>
  </r>
  <r>
    <s v="ORD-01389"/>
    <x v="28"/>
    <s v="CUST-0210"/>
    <s v="Customer 0210"/>
    <s v="Consumer"/>
    <x v="0"/>
    <s v="Maharashtra"/>
    <s v="Mumbai"/>
    <x v="2"/>
    <s v="Stationery"/>
    <x v="13"/>
    <n v="1"/>
    <n v="594.42999999999995"/>
    <n v="0.1"/>
    <n v="534.99"/>
    <n v="151.13"/>
    <s v="Cash"/>
  </r>
  <r>
    <s v="ORD-00733"/>
    <x v="28"/>
    <s v="CUST-0135"/>
    <s v="Customer 0135"/>
    <s v="Corporate"/>
    <x v="0"/>
    <s v="Maharashtra"/>
    <s v="Pune"/>
    <x v="0"/>
    <s v="Tables"/>
    <x v="12"/>
    <n v="1"/>
    <n v="6721.39"/>
    <n v="0.15"/>
    <n v="5713.18"/>
    <n v="1023.77"/>
    <s v="Net Banking"/>
  </r>
  <r>
    <s v="ORD-00717"/>
    <x v="28"/>
    <s v="CUST-0277"/>
    <s v="Customer 0277"/>
    <s v="Small Business"/>
    <x v="3"/>
    <s v="West Bengal"/>
    <s v="Kolkata"/>
    <x v="0"/>
    <s v="Chairs"/>
    <x v="7"/>
    <n v="1"/>
    <n v="8464.85"/>
    <n v="0.15"/>
    <n v="7195.12"/>
    <n v="1400.67"/>
    <s v="Cash"/>
  </r>
  <r>
    <s v="ORD-00435"/>
    <x v="29"/>
    <s v="CUST-0045"/>
    <s v="Customer 0045"/>
    <s v="Corporate"/>
    <x v="3"/>
    <s v="Odisha"/>
    <s v="Bhubaneswar"/>
    <x v="1"/>
    <s v="Laptops"/>
    <x v="5"/>
    <n v="2"/>
    <n v="45991.56"/>
    <n v="0.1"/>
    <n v="82784.81"/>
    <n v="6456.77"/>
    <s v="UPI"/>
  </r>
  <r>
    <s v="ORD-01486"/>
    <x v="29"/>
    <s v="CUST-0055"/>
    <s v="Customer 0055"/>
    <s v="Consumer"/>
    <x v="0"/>
    <s v="Gujarat"/>
    <s v="Ahmedabad"/>
    <x v="1"/>
    <s v="Phones"/>
    <x v="1"/>
    <n v="2"/>
    <n v="41369.47"/>
    <n v="0"/>
    <n v="82738.94"/>
    <n v="15783.48"/>
    <s v="UPI"/>
  </r>
  <r>
    <s v="ORD-01140"/>
    <x v="29"/>
    <s v="CUST-0085"/>
    <s v="Customer 0085"/>
    <s v="Small Business"/>
    <x v="0"/>
    <s v="Gujarat"/>
    <s v="Ahmedabad"/>
    <x v="0"/>
    <s v="Chairs"/>
    <x v="7"/>
    <n v="1"/>
    <n v="8281.84"/>
    <n v="0"/>
    <n v="8281.84"/>
    <n v="2156.56"/>
    <s v="Card"/>
  </r>
  <r>
    <s v="ORD-01191"/>
    <x v="30"/>
    <s v="CUST-0169"/>
    <s v="Customer 0169"/>
    <s v="Consumer"/>
    <x v="0"/>
    <s v="Gujarat"/>
    <s v="Ahmedabad"/>
    <x v="2"/>
    <s v="Stationery"/>
    <x v="9"/>
    <n v="4"/>
    <n v="340.4"/>
    <n v="0.15"/>
    <n v="1157.3599999999999"/>
    <n v="241.42"/>
    <s v="Net Banking"/>
  </r>
  <r>
    <s v="ORD-00613"/>
    <x v="30"/>
    <s v="CUST-0170"/>
    <s v="Customer 0170"/>
    <s v="Corporate"/>
    <x v="1"/>
    <s v="Karnataka"/>
    <s v="Bengaluru"/>
    <x v="1"/>
    <s v="Phones"/>
    <x v="11"/>
    <n v="1"/>
    <n v="18741.97"/>
    <n v="0.2"/>
    <n v="14993.58"/>
    <n v="1309.51"/>
    <s v="UPI"/>
  </r>
  <r>
    <s v="ORD-00772"/>
    <x v="30"/>
    <s v="CUST-0130"/>
    <s v="Customer 0130"/>
    <s v="Small Business"/>
    <x v="1"/>
    <s v="Telangana"/>
    <s v="Hyderabad"/>
    <x v="2"/>
    <s v="Stationery"/>
    <x v="13"/>
    <n v="2"/>
    <n v="583.27"/>
    <n v="0.1"/>
    <n v="1049.8900000000001"/>
    <n v="268.89"/>
    <s v="Card"/>
  </r>
  <r>
    <s v="ORD-00908"/>
    <x v="31"/>
    <s v="CUST-0003"/>
    <s v="Customer 0003"/>
    <s v="Corporate"/>
    <x v="1"/>
    <s v="Karnataka"/>
    <s v="Bengaluru"/>
    <x v="2"/>
    <s v="Storage"/>
    <x v="2"/>
    <n v="1"/>
    <n v="713.11"/>
    <n v="0.15"/>
    <n v="606.14"/>
    <n v="93.65"/>
    <s v="UPI"/>
  </r>
  <r>
    <s v="ORD-00466"/>
    <x v="31"/>
    <s v="CUST-0035"/>
    <s v="Customer 0035"/>
    <s v="Corporate"/>
    <x v="1"/>
    <s v="Karnataka"/>
    <s v="Bengaluru"/>
    <x v="2"/>
    <s v="Paper"/>
    <x v="6"/>
    <n v="1"/>
    <n v="469.71"/>
    <n v="0"/>
    <n v="469.71"/>
    <n v="156.66"/>
    <s v="Cash"/>
  </r>
  <r>
    <s v="ORD-00728"/>
    <x v="31"/>
    <s v="CUST-0110"/>
    <s v="Customer 0110"/>
    <s v="Corporate"/>
    <x v="0"/>
    <s v="Maharashtra"/>
    <s v="Pune"/>
    <x v="2"/>
    <s v="Paper"/>
    <x v="6"/>
    <n v="1"/>
    <n v="450.01"/>
    <n v="0.1"/>
    <n v="405.01"/>
    <n v="119.81"/>
    <s v="UPI"/>
  </r>
  <r>
    <s v="ORD-00199"/>
    <x v="31"/>
    <s v="CUST-0076"/>
    <s v="Customer 0076"/>
    <s v="Consumer"/>
    <x v="1"/>
    <s v="Telangana"/>
    <s v="Hyderabad"/>
    <x v="1"/>
    <s v="Accessories"/>
    <x v="8"/>
    <n v="2"/>
    <n v="1792.66"/>
    <n v="0.15"/>
    <n v="3047.52"/>
    <n v="130.4"/>
    <s v="Cash"/>
  </r>
  <r>
    <s v="ORD-01454"/>
    <x v="31"/>
    <s v="CUST-0018"/>
    <s v="Customer 0018"/>
    <s v="Consumer"/>
    <x v="2"/>
    <s v="Rajasthan"/>
    <s v="Jaipur"/>
    <x v="0"/>
    <s v="Tables"/>
    <x v="0"/>
    <n v="2"/>
    <n v="11880.17"/>
    <n v="0.05"/>
    <n v="22572.32"/>
    <n v="4598.33"/>
    <s v="Net Banking"/>
  </r>
  <r>
    <s v="ORD-01257"/>
    <x v="32"/>
    <s v="CUST-0256"/>
    <s v="Customer 0256"/>
    <s v="Consumer"/>
    <x v="0"/>
    <s v="Maharashtra"/>
    <s v="Mumbai"/>
    <x v="1"/>
    <s v="Laptops"/>
    <x v="10"/>
    <n v="1"/>
    <n v="66130.64"/>
    <n v="0"/>
    <n v="66130.64"/>
    <n v="10265.25"/>
    <s v="Net Banking"/>
  </r>
  <r>
    <s v="ORD-01175"/>
    <x v="32"/>
    <s v="CUST-0085"/>
    <s v="Customer 0085"/>
    <s v="Small Business"/>
    <x v="3"/>
    <s v="Bihar"/>
    <s v="Patna"/>
    <x v="1"/>
    <s v="Phones"/>
    <x v="11"/>
    <n v="2"/>
    <n v="17230.830000000002"/>
    <n v="0.05"/>
    <n v="32738.58"/>
    <n v="5440.87"/>
    <s v="Cash"/>
  </r>
  <r>
    <s v="ORD-00290"/>
    <x v="32"/>
    <s v="CUST-0283"/>
    <s v="Customer 0283"/>
    <s v="Consumer"/>
    <x v="2"/>
    <s v="Rajasthan"/>
    <s v="Jaipur"/>
    <x v="1"/>
    <s v="Accessories"/>
    <x v="3"/>
    <n v="4"/>
    <n v="1245.3599999999999"/>
    <n v="0.05"/>
    <n v="4732.37"/>
    <n v="741.47"/>
    <s v="Card"/>
  </r>
  <r>
    <s v="ORD-01050"/>
    <x v="32"/>
    <s v="CUST-0141"/>
    <s v="Customer 0141"/>
    <s v="Consumer"/>
    <x v="0"/>
    <s v="Maharashtra"/>
    <s v="Mumbai"/>
    <x v="1"/>
    <s v="Laptops"/>
    <x v="5"/>
    <n v="4"/>
    <n v="49605.38"/>
    <n v="0"/>
    <n v="198421.52"/>
    <n v="25896.07"/>
    <s v="UPI"/>
  </r>
  <r>
    <s v="ORD-00750"/>
    <x v="32"/>
    <s v="CUST-0007"/>
    <s v="Customer 0007"/>
    <s v="Consumer"/>
    <x v="3"/>
    <s v="Bihar"/>
    <s v="Patna"/>
    <x v="0"/>
    <s v="Tables"/>
    <x v="0"/>
    <n v="1"/>
    <n v="11429.27"/>
    <n v="0.15"/>
    <n v="9714.8799999999992"/>
    <n v="1723.84"/>
    <s v="Net Banking"/>
  </r>
  <r>
    <s v="ORD-00056"/>
    <x v="33"/>
    <s v="CUST-0081"/>
    <s v="Customer 0081"/>
    <s v="Small Business"/>
    <x v="1"/>
    <s v="Tamil Nadu"/>
    <s v="Chennai"/>
    <x v="1"/>
    <s v="Phones"/>
    <x v="1"/>
    <n v="1"/>
    <n v="41966.89"/>
    <n v="0.15"/>
    <n v="35671.86"/>
    <n v="2994.18"/>
    <s v="Card"/>
  </r>
  <r>
    <s v="ORD-00583"/>
    <x v="33"/>
    <s v="CUST-0231"/>
    <s v="Customer 0231"/>
    <s v="Corporate"/>
    <x v="1"/>
    <s v="Tamil Nadu"/>
    <s v="Chennai"/>
    <x v="1"/>
    <s v="Laptops"/>
    <x v="10"/>
    <n v="2"/>
    <n v="66469.399999999994"/>
    <n v="0.2"/>
    <n v="106351.03999999999"/>
    <n v="15215.73"/>
    <s v="Net Banking"/>
  </r>
  <r>
    <s v="ORD-00760"/>
    <x v="34"/>
    <s v="CUST-0146"/>
    <s v="Customer 0146"/>
    <s v="Consumer"/>
    <x v="0"/>
    <s v="Gujarat"/>
    <s v="Ahmedabad"/>
    <x v="2"/>
    <s v="Stationery"/>
    <x v="13"/>
    <n v="2"/>
    <n v="600.21"/>
    <n v="0"/>
    <n v="1200.42"/>
    <n v="372.52"/>
    <s v="Net Banking"/>
  </r>
  <r>
    <s v="ORD-00212"/>
    <x v="34"/>
    <s v="CUST-0219"/>
    <s v="Customer 0219"/>
    <s v="Corporate"/>
    <x v="0"/>
    <s v="Maharashtra"/>
    <s v="Pune"/>
    <x v="2"/>
    <s v="Stationery"/>
    <x v="13"/>
    <n v="1"/>
    <n v="597.62"/>
    <n v="0.05"/>
    <n v="567.74"/>
    <n v="176.61"/>
    <s v="Cash"/>
  </r>
  <r>
    <s v="ORD-00625"/>
    <x v="34"/>
    <s v="CUST-0127"/>
    <s v="Customer 0127"/>
    <s v="Consumer"/>
    <x v="2"/>
    <s v="Uttar Pradesh"/>
    <s v="Lucknow"/>
    <x v="0"/>
    <s v="Tables"/>
    <x v="12"/>
    <n v="5"/>
    <n v="6814.2"/>
    <n v="0.1"/>
    <n v="30663.9"/>
    <n v="7472.12"/>
    <s v="Cash"/>
  </r>
  <r>
    <s v="ORD-00070"/>
    <x v="34"/>
    <s v="CUST-0069"/>
    <s v="Customer 0069"/>
    <s v="Small Business"/>
    <x v="3"/>
    <s v="Bihar"/>
    <s v="Patna"/>
    <x v="1"/>
    <s v="Laptops"/>
    <x v="10"/>
    <n v="5"/>
    <n v="66500.639999999999"/>
    <n v="0"/>
    <n v="332503.2"/>
    <n v="70280.42"/>
    <s v="UPI"/>
  </r>
  <r>
    <s v="ORD-00004"/>
    <x v="34"/>
    <s v="CUST-0265"/>
    <s v="Customer 0265"/>
    <s v="Consumer"/>
    <x v="3"/>
    <s v="Odisha"/>
    <s v="Bhubaneswar"/>
    <x v="1"/>
    <s v="Laptops"/>
    <x v="5"/>
    <n v="1"/>
    <n v="48879.66"/>
    <n v="0"/>
    <n v="48879.66"/>
    <n v="8084.67"/>
    <s v="Card"/>
  </r>
  <r>
    <s v="ORD-00992"/>
    <x v="35"/>
    <s v="CUST-0087"/>
    <s v="Customer 0087"/>
    <s v="Consumer"/>
    <x v="2"/>
    <s v="Rajasthan"/>
    <s v="Jaipur"/>
    <x v="0"/>
    <s v="Storage"/>
    <x v="4"/>
    <n v="1"/>
    <n v="14756.93"/>
    <n v="0.05"/>
    <n v="14019.08"/>
    <n v="2526.4899999999998"/>
    <s v="UPI"/>
  </r>
  <r>
    <s v="ORD-01031"/>
    <x v="35"/>
    <s v="CUST-0103"/>
    <s v="Customer 0103"/>
    <s v="Small Business"/>
    <x v="2"/>
    <s v="Uttar Pradesh"/>
    <s v="Lucknow"/>
    <x v="0"/>
    <s v="Storage"/>
    <x v="4"/>
    <n v="1"/>
    <n v="14854.61"/>
    <n v="0"/>
    <n v="14854.61"/>
    <n v="2099.5"/>
    <s v="Card"/>
  </r>
  <r>
    <s v="ORD-01196"/>
    <x v="35"/>
    <s v="CUST-0081"/>
    <s v="Customer 0081"/>
    <s v="Consumer"/>
    <x v="1"/>
    <s v="Telangana"/>
    <s v="Hyderabad"/>
    <x v="0"/>
    <s v="Tables"/>
    <x v="0"/>
    <n v="1"/>
    <n v="12039.45"/>
    <n v="0.1"/>
    <n v="10835.51"/>
    <n v="2215.04"/>
    <s v="Cash"/>
  </r>
  <r>
    <s v="ORD-01184"/>
    <x v="35"/>
    <s v="CUST-0014"/>
    <s v="Customer 0014"/>
    <s v="Corporate"/>
    <x v="2"/>
    <s v="Rajasthan"/>
    <s v="Jaipur"/>
    <x v="0"/>
    <s v="Tables"/>
    <x v="0"/>
    <n v="2"/>
    <n v="11867"/>
    <n v="0.1"/>
    <n v="21360.6"/>
    <n v="3488.26"/>
    <s v="Net Banking"/>
  </r>
  <r>
    <s v="ORD-01464"/>
    <x v="35"/>
    <s v="CUST-0124"/>
    <s v="Customer 0124"/>
    <s v="Consumer"/>
    <x v="0"/>
    <s v="Gujarat"/>
    <s v="Ahmedabad"/>
    <x v="1"/>
    <s v="Accessories"/>
    <x v="3"/>
    <n v="1"/>
    <n v="1185.44"/>
    <n v="0"/>
    <n v="1185.44"/>
    <n v="230.61"/>
    <s v="Cash"/>
  </r>
  <r>
    <s v="ORD-00037"/>
    <x v="35"/>
    <s v="CUST-0217"/>
    <s v="Customer 0217"/>
    <s v="Small Business"/>
    <x v="0"/>
    <s v="Maharashtra"/>
    <s v="Mumbai"/>
    <x v="2"/>
    <s v="Stationery"/>
    <x v="13"/>
    <n v="1"/>
    <n v="615.04"/>
    <n v="0"/>
    <n v="615.04"/>
    <n v="191.5"/>
    <s v="Card"/>
  </r>
  <r>
    <s v="ORD-00395"/>
    <x v="35"/>
    <s v="CUST-0110"/>
    <s v="Customer 0110"/>
    <s v="Consumer"/>
    <x v="2"/>
    <s v="Uttar Pradesh"/>
    <s v="Lucknow"/>
    <x v="0"/>
    <s v="Tables"/>
    <x v="0"/>
    <n v="2"/>
    <n v="12500.72"/>
    <n v="0.05"/>
    <n v="23751.37"/>
    <n v="4234"/>
    <s v="UPI"/>
  </r>
  <r>
    <s v="ORD-00018"/>
    <x v="36"/>
    <s v="CUST-0252"/>
    <s v="Customer 0252"/>
    <s v="Consumer"/>
    <x v="3"/>
    <s v="Bihar"/>
    <s v="Patna"/>
    <x v="0"/>
    <s v="Chairs"/>
    <x v="7"/>
    <n v="5"/>
    <n v="8296.7000000000007"/>
    <n v="0.1"/>
    <n v="37335.15"/>
    <n v="9157.01"/>
    <s v="Net Banking"/>
  </r>
  <r>
    <s v="ORD-00684"/>
    <x v="36"/>
    <s v="CUST-0276"/>
    <s v="Customer 0276"/>
    <s v="Consumer"/>
    <x v="3"/>
    <s v="Odisha"/>
    <s v="Bhubaneswar"/>
    <x v="1"/>
    <s v="Accessories"/>
    <x v="8"/>
    <n v="2"/>
    <n v="1805.05"/>
    <n v="0.1"/>
    <n v="3249.09"/>
    <n v="609.6"/>
    <s v="Cash"/>
  </r>
  <r>
    <s v="ORD-01102"/>
    <x v="36"/>
    <s v="CUST-0237"/>
    <s v="Customer 0237"/>
    <s v="Consumer"/>
    <x v="2"/>
    <s v="Delhi"/>
    <s v="Delhi"/>
    <x v="0"/>
    <s v="Chairs"/>
    <x v="7"/>
    <n v="3"/>
    <n v="8496.4599999999991"/>
    <n v="0.1"/>
    <n v="22940.44"/>
    <n v="5428.14"/>
    <s v="Net Banking"/>
  </r>
  <r>
    <s v="ORD-00646"/>
    <x v="36"/>
    <s v="CUST-0167"/>
    <s v="Customer 0167"/>
    <s v="Consumer"/>
    <x v="0"/>
    <s v="Maharashtra"/>
    <s v="Pune"/>
    <x v="2"/>
    <s v="Stationery"/>
    <x v="13"/>
    <n v="1"/>
    <n v="583.84"/>
    <n v="0.05"/>
    <n v="554.65"/>
    <n v="107.37"/>
    <s v="Cash"/>
  </r>
  <r>
    <s v="ORD-00233"/>
    <x v="36"/>
    <s v="CUST-0234"/>
    <s v="Customer 0234"/>
    <s v="Consumer"/>
    <x v="2"/>
    <s v="Rajasthan"/>
    <s v="Jaipur"/>
    <x v="2"/>
    <s v="Stationery"/>
    <x v="13"/>
    <n v="1"/>
    <n v="599.27"/>
    <n v="0"/>
    <n v="599.27"/>
    <n v="105.48"/>
    <s v="Card"/>
  </r>
  <r>
    <s v="ORD-00109"/>
    <x v="37"/>
    <s v="CUST-0226"/>
    <s v="Customer 0226"/>
    <s v="Small Business"/>
    <x v="2"/>
    <s v="Delhi"/>
    <s v="Delhi"/>
    <x v="1"/>
    <s v="Phones"/>
    <x v="1"/>
    <n v="3"/>
    <n v="42213.599999999999"/>
    <n v="0.1"/>
    <n v="113976.72"/>
    <n v="8202.5400000000009"/>
    <s v="Net Banking"/>
  </r>
  <r>
    <s v="ORD-01178"/>
    <x v="37"/>
    <s v="CUST-0003"/>
    <s v="Customer 0003"/>
    <s v="Consumer"/>
    <x v="0"/>
    <s v="Gujarat"/>
    <s v="Ahmedabad"/>
    <x v="0"/>
    <s v="Storage"/>
    <x v="4"/>
    <n v="4"/>
    <n v="13960.23"/>
    <n v="0.05"/>
    <n v="53048.87"/>
    <n v="5693.32"/>
    <s v="Card"/>
  </r>
  <r>
    <s v="ORD-00218"/>
    <x v="37"/>
    <s v="CUST-0076"/>
    <s v="Customer 0076"/>
    <s v="Consumer"/>
    <x v="3"/>
    <s v="West Bengal"/>
    <s v="Kolkata"/>
    <x v="0"/>
    <s v="Tables"/>
    <x v="0"/>
    <n v="1"/>
    <n v="11597.79"/>
    <n v="0.05"/>
    <n v="11017.9"/>
    <n v="1437.19"/>
    <s v="Net Banking"/>
  </r>
  <r>
    <s v="ORD-00069"/>
    <x v="37"/>
    <s v="CUST-0138"/>
    <s v="Customer 0138"/>
    <s v="Small Business"/>
    <x v="1"/>
    <s v="Tamil Nadu"/>
    <s v="Chennai"/>
    <x v="1"/>
    <s v="Accessories"/>
    <x v="3"/>
    <n v="1"/>
    <n v="1170.56"/>
    <n v="0.15"/>
    <n v="994.98"/>
    <n v="131.24"/>
    <s v="Cash"/>
  </r>
  <r>
    <s v="ORD-00226"/>
    <x v="38"/>
    <s v="CUST-0105"/>
    <s v="Customer 0105"/>
    <s v="Corporate"/>
    <x v="0"/>
    <s v="Maharashtra"/>
    <s v="Pune"/>
    <x v="2"/>
    <s v="Storage"/>
    <x v="2"/>
    <n v="4"/>
    <n v="750.16"/>
    <n v="0.1"/>
    <n v="2700.58"/>
    <n v="445.27"/>
    <s v="Net Banking"/>
  </r>
  <r>
    <s v="ORD-00529"/>
    <x v="38"/>
    <s v="CUST-0066"/>
    <s v="Customer 0066"/>
    <s v="Small Business"/>
    <x v="2"/>
    <s v="Delhi"/>
    <s v="Delhi"/>
    <x v="0"/>
    <s v="Chairs"/>
    <x v="7"/>
    <n v="1"/>
    <n v="8119.81"/>
    <n v="0.1"/>
    <n v="7307.83"/>
    <n v="1224.3399999999999"/>
    <s v="UPI"/>
  </r>
  <r>
    <s v="ORD-00178"/>
    <x v="38"/>
    <s v="CUST-0213"/>
    <s v="Customer 0213"/>
    <s v="Corporate"/>
    <x v="0"/>
    <s v="Maharashtra"/>
    <s v="Pune"/>
    <x v="1"/>
    <s v="Phones"/>
    <x v="11"/>
    <n v="2"/>
    <n v="18886.349999999999"/>
    <n v="0"/>
    <n v="37772.699999999997"/>
    <n v="6572.59"/>
    <s v="UPI"/>
  </r>
  <r>
    <s v="ORD-01371"/>
    <x v="38"/>
    <s v="CUST-0025"/>
    <s v="Customer 0025"/>
    <s v="Small Business"/>
    <x v="2"/>
    <s v="Uttar Pradesh"/>
    <s v="Lucknow"/>
    <x v="1"/>
    <s v="Phones"/>
    <x v="1"/>
    <n v="2"/>
    <n v="43420.82"/>
    <n v="0.05"/>
    <n v="82499.56"/>
    <n v="16852.14"/>
    <s v="UPI"/>
  </r>
  <r>
    <s v="ORD-00527"/>
    <x v="39"/>
    <s v="CUST-0103"/>
    <s v="Customer 0103"/>
    <s v="Small Business"/>
    <x v="1"/>
    <s v="Karnataka"/>
    <s v="Bengaluru"/>
    <x v="1"/>
    <s v="Phones"/>
    <x v="11"/>
    <n v="1"/>
    <n v="18197.43"/>
    <n v="0.1"/>
    <n v="16377.69"/>
    <n v="3180.62"/>
    <s v="Card"/>
  </r>
  <r>
    <s v="ORD-00924"/>
    <x v="39"/>
    <s v="CUST-0297"/>
    <s v="Customer 0297"/>
    <s v="Consumer"/>
    <x v="1"/>
    <s v="Tamil Nadu"/>
    <s v="Chennai"/>
    <x v="1"/>
    <s v="Phones"/>
    <x v="1"/>
    <n v="1"/>
    <n v="40187.71"/>
    <n v="0.05"/>
    <n v="38178.32"/>
    <n v="5376.11"/>
    <s v="UPI"/>
  </r>
  <r>
    <s v="ORD-01179"/>
    <x v="40"/>
    <s v="CUST-0190"/>
    <s v="Customer 0190"/>
    <s v="Consumer"/>
    <x v="2"/>
    <s v="Rajasthan"/>
    <s v="Jaipur"/>
    <x v="1"/>
    <s v="Laptops"/>
    <x v="5"/>
    <n v="2"/>
    <n v="47839.78"/>
    <n v="0.05"/>
    <n v="90895.58"/>
    <n v="9121.66"/>
    <s v="Net Banking"/>
  </r>
  <r>
    <s v="ORD-01018"/>
    <x v="40"/>
    <s v="CUST-0289"/>
    <s v="Customer 0289"/>
    <s v="Consumer"/>
    <x v="1"/>
    <s v="Tamil Nadu"/>
    <s v="Chennai"/>
    <x v="1"/>
    <s v="Laptops"/>
    <x v="5"/>
    <n v="5"/>
    <n v="50199.61"/>
    <n v="0"/>
    <n v="250998.05"/>
    <n v="23277.97"/>
    <s v="UPI"/>
  </r>
  <r>
    <s v="ORD-00858"/>
    <x v="40"/>
    <s v="CUST-0126"/>
    <s v="Customer 0126"/>
    <s v="Corporate"/>
    <x v="1"/>
    <s v="Tamil Nadu"/>
    <s v="Chennai"/>
    <x v="2"/>
    <s v="Storage"/>
    <x v="2"/>
    <n v="3"/>
    <n v="759.51"/>
    <n v="0.1"/>
    <n v="2050.6799999999998"/>
    <n v="516.53"/>
    <s v="Card"/>
  </r>
  <r>
    <s v="ORD-00491"/>
    <x v="41"/>
    <s v="CUST-0172"/>
    <s v="Customer 0172"/>
    <s v="Consumer"/>
    <x v="1"/>
    <s v="Karnataka"/>
    <s v="Bengaluru"/>
    <x v="0"/>
    <s v="Storage"/>
    <x v="4"/>
    <n v="2"/>
    <n v="15034.41"/>
    <n v="0.2"/>
    <n v="24055.06"/>
    <n v="2729.73"/>
    <s v="Cash"/>
  </r>
  <r>
    <s v="ORD-00507"/>
    <x v="41"/>
    <s v="CUST-0300"/>
    <s v="Customer 0300"/>
    <s v="Consumer"/>
    <x v="1"/>
    <s v="Telangana"/>
    <s v="Hyderabad"/>
    <x v="2"/>
    <s v="Storage"/>
    <x v="2"/>
    <n v="1"/>
    <n v="782.99"/>
    <n v="0.05"/>
    <n v="743.84"/>
    <n v="149.69999999999999"/>
    <s v="UPI"/>
  </r>
  <r>
    <s v="ORD-00170"/>
    <x v="41"/>
    <s v="CUST-0196"/>
    <s v="Customer 0196"/>
    <s v="Small Business"/>
    <x v="2"/>
    <s v="Rajasthan"/>
    <s v="Jaipur"/>
    <x v="0"/>
    <s v="Storage"/>
    <x v="4"/>
    <n v="1"/>
    <n v="14950.49"/>
    <n v="0.1"/>
    <n v="13455.44"/>
    <n v="2512.9899999999998"/>
    <s v="UPI"/>
  </r>
  <r>
    <s v="ORD-00778"/>
    <x v="41"/>
    <s v="CUST-0282"/>
    <s v="Customer 0282"/>
    <s v="Consumer"/>
    <x v="2"/>
    <s v="Uttar Pradesh"/>
    <s v="Lucknow"/>
    <x v="1"/>
    <s v="Laptops"/>
    <x v="5"/>
    <n v="1"/>
    <n v="48264.77"/>
    <n v="0.05"/>
    <n v="45851.53"/>
    <n v="7822.15"/>
    <s v="UPI"/>
  </r>
  <r>
    <s v="ORD-00459"/>
    <x v="41"/>
    <s v="CUST-0185"/>
    <s v="Customer 0185"/>
    <s v="Consumer"/>
    <x v="2"/>
    <s v="Uttar Pradesh"/>
    <s v="Lucknow"/>
    <x v="1"/>
    <s v="Accessories"/>
    <x v="8"/>
    <n v="2"/>
    <n v="1867.66"/>
    <n v="0.05"/>
    <n v="3548.55"/>
    <n v="694.03"/>
    <s v="Card"/>
  </r>
  <r>
    <s v="ORD-01499"/>
    <x v="42"/>
    <s v="CUST-0232"/>
    <s v="Customer 0232"/>
    <s v="Consumer"/>
    <x v="0"/>
    <s v="Gujarat"/>
    <s v="Ahmedabad"/>
    <x v="1"/>
    <s v="Laptops"/>
    <x v="5"/>
    <n v="2"/>
    <n v="50106.22"/>
    <n v="0.15"/>
    <n v="85180.57"/>
    <n v="8159.9"/>
    <s v="UPI"/>
  </r>
  <r>
    <s v="ORD-00755"/>
    <x v="42"/>
    <s v="CUST-0229"/>
    <s v="Customer 0229"/>
    <s v="Small Business"/>
    <x v="2"/>
    <s v="Delhi"/>
    <s v="Delhi"/>
    <x v="1"/>
    <s v="Phones"/>
    <x v="1"/>
    <n v="4"/>
    <n v="41626.83"/>
    <n v="0.05"/>
    <n v="158181.95000000001"/>
    <n v="15659.16"/>
    <s v="Card"/>
  </r>
  <r>
    <s v="ORD-01331"/>
    <x v="42"/>
    <s v="CUST-0025"/>
    <s v="Customer 0025"/>
    <s v="Consumer"/>
    <x v="3"/>
    <s v="Bihar"/>
    <s v="Patna"/>
    <x v="1"/>
    <s v="Accessories"/>
    <x v="3"/>
    <n v="1"/>
    <n v="1186.68"/>
    <n v="0.1"/>
    <n v="1068.01"/>
    <n v="199.74"/>
    <s v="Card"/>
  </r>
  <r>
    <s v="ORD-00464"/>
    <x v="43"/>
    <s v="CUST-0058"/>
    <s v="Customer 0058"/>
    <s v="Consumer"/>
    <x v="0"/>
    <s v="Maharashtra"/>
    <s v="Pune"/>
    <x v="1"/>
    <s v="Accessories"/>
    <x v="3"/>
    <n v="2"/>
    <n v="1144.78"/>
    <n v="0.05"/>
    <n v="2175.08"/>
    <n v="220.58"/>
    <s v="Cash"/>
  </r>
  <r>
    <s v="ORD-01085"/>
    <x v="43"/>
    <s v="CUST-0069"/>
    <s v="Customer 0069"/>
    <s v="Consumer"/>
    <x v="1"/>
    <s v="Karnataka"/>
    <s v="Bengaluru"/>
    <x v="0"/>
    <s v="Tables"/>
    <x v="0"/>
    <n v="4"/>
    <n v="11805.77"/>
    <n v="0.1"/>
    <n v="42500.77"/>
    <n v="5750.26"/>
    <s v="Cash"/>
  </r>
  <r>
    <s v="ORD-01466"/>
    <x v="43"/>
    <s v="CUST-0154"/>
    <s v="Customer 0154"/>
    <s v="Consumer"/>
    <x v="3"/>
    <s v="Bihar"/>
    <s v="Patna"/>
    <x v="1"/>
    <s v="Laptops"/>
    <x v="10"/>
    <n v="2"/>
    <n v="62384.46"/>
    <n v="0.15"/>
    <n v="106053.58"/>
    <n v="8846.69"/>
    <s v="Card"/>
  </r>
  <r>
    <s v="ORD-00621"/>
    <x v="43"/>
    <s v="CUST-0023"/>
    <s v="Customer 0023"/>
    <s v="Small Business"/>
    <x v="2"/>
    <s v="Rajasthan"/>
    <s v="Jaipur"/>
    <x v="0"/>
    <s v="Storage"/>
    <x v="4"/>
    <n v="1"/>
    <n v="14363.29"/>
    <n v="0.1"/>
    <n v="12926.96"/>
    <n v="1394.7"/>
    <s v="Net Banking"/>
  </r>
  <r>
    <s v="ORD-00414"/>
    <x v="43"/>
    <s v="CUST-0181"/>
    <s v="Customer 0181"/>
    <s v="Consumer"/>
    <x v="3"/>
    <s v="Odisha"/>
    <s v="Bhubaneswar"/>
    <x v="2"/>
    <s v="Paper"/>
    <x v="6"/>
    <n v="3"/>
    <n v="471.95"/>
    <n v="0.05"/>
    <n v="1345.06"/>
    <n v="276.02"/>
    <s v="Net Banking"/>
  </r>
  <r>
    <s v="ORD-00662"/>
    <x v="44"/>
    <s v="CUST-0105"/>
    <s v="Customer 0105"/>
    <s v="Consumer"/>
    <x v="1"/>
    <s v="Tamil Nadu"/>
    <s v="Chennai"/>
    <x v="2"/>
    <s v="Stationery"/>
    <x v="9"/>
    <n v="1"/>
    <n v="362.41"/>
    <n v="0.1"/>
    <n v="326.17"/>
    <n v="38.340000000000003"/>
    <s v="UPI"/>
  </r>
  <r>
    <s v="ORD-00809"/>
    <x v="44"/>
    <s v="CUST-0164"/>
    <s v="Customer 0164"/>
    <s v="Corporate"/>
    <x v="0"/>
    <s v="Maharashtra"/>
    <s v="Mumbai"/>
    <x v="2"/>
    <s v="Stationery"/>
    <x v="13"/>
    <n v="2"/>
    <n v="627.41"/>
    <n v="0.15"/>
    <n v="1066.5999999999999"/>
    <n v="213.19"/>
    <s v="UPI"/>
  </r>
  <r>
    <s v="ORD-00926"/>
    <x v="44"/>
    <s v="CUST-0061"/>
    <s v="Customer 0061"/>
    <s v="Consumer"/>
    <x v="3"/>
    <s v="Odisha"/>
    <s v="Bhubaneswar"/>
    <x v="1"/>
    <s v="Laptops"/>
    <x v="5"/>
    <n v="4"/>
    <n v="46770.45"/>
    <n v="0"/>
    <n v="187081.8"/>
    <n v="18962.68"/>
    <s v="Net Banking"/>
  </r>
  <r>
    <s v="ORD-00619"/>
    <x v="45"/>
    <s v="CUST-0121"/>
    <s v="Customer 0121"/>
    <s v="Consumer"/>
    <x v="0"/>
    <s v="Maharashtra"/>
    <s v="Pune"/>
    <x v="0"/>
    <s v="Tables"/>
    <x v="0"/>
    <n v="3"/>
    <n v="12063.24"/>
    <n v="0.1"/>
    <n v="32570.75"/>
    <n v="4078.03"/>
    <s v="Card"/>
  </r>
  <r>
    <s v="ORD-00122"/>
    <x v="45"/>
    <s v="CUST-0032"/>
    <s v="Customer 0032"/>
    <s v="Corporate"/>
    <x v="1"/>
    <s v="Tamil Nadu"/>
    <s v="Chennai"/>
    <x v="1"/>
    <s v="Accessories"/>
    <x v="8"/>
    <n v="3"/>
    <n v="1873.41"/>
    <n v="0.2"/>
    <n v="4496.18"/>
    <n v="439.61"/>
    <s v="Net Banking"/>
  </r>
  <r>
    <s v="ORD-00853"/>
    <x v="45"/>
    <s v="CUST-0254"/>
    <s v="Customer 0254"/>
    <s v="Consumer"/>
    <x v="2"/>
    <s v="Rajasthan"/>
    <s v="Jaipur"/>
    <x v="1"/>
    <s v="Laptops"/>
    <x v="5"/>
    <n v="1"/>
    <n v="47857.42"/>
    <n v="0.15"/>
    <n v="40678.81"/>
    <n v="1756.97"/>
    <s v="Net Banking"/>
  </r>
  <r>
    <s v="ORD-00297"/>
    <x v="45"/>
    <s v="CUST-0284"/>
    <s v="Customer 0284"/>
    <s v="Corporate"/>
    <x v="0"/>
    <s v="Maharashtra"/>
    <s v="Pune"/>
    <x v="0"/>
    <s v="Tables"/>
    <x v="12"/>
    <n v="2"/>
    <n v="6527.29"/>
    <n v="0.2"/>
    <n v="10443.66"/>
    <n v="2499.38"/>
    <s v="Card"/>
  </r>
  <r>
    <s v="ORD-00962"/>
    <x v="46"/>
    <s v="CUST-0280"/>
    <s v="Customer 0280"/>
    <s v="Corporate"/>
    <x v="3"/>
    <s v="Bihar"/>
    <s v="Patna"/>
    <x v="1"/>
    <s v="Phones"/>
    <x v="1"/>
    <n v="1"/>
    <n v="43555.68"/>
    <n v="0.15"/>
    <n v="37022.33"/>
    <n v="4848.91"/>
    <s v="Net Banking"/>
  </r>
  <r>
    <s v="ORD-01324"/>
    <x v="46"/>
    <s v="CUST-0121"/>
    <s v="Customer 0121"/>
    <s v="Consumer"/>
    <x v="0"/>
    <s v="Maharashtra"/>
    <s v="Pune"/>
    <x v="0"/>
    <s v="Storage"/>
    <x v="4"/>
    <n v="1"/>
    <n v="14919.16"/>
    <n v="0.2"/>
    <n v="11935.33"/>
    <n v="2465.16"/>
    <s v="Cash"/>
  </r>
  <r>
    <s v="ORD-00472"/>
    <x v="46"/>
    <s v="CUST-0212"/>
    <s v="Customer 0212"/>
    <s v="Small Business"/>
    <x v="0"/>
    <s v="Maharashtra"/>
    <s v="Pune"/>
    <x v="2"/>
    <s v="Paper"/>
    <x v="6"/>
    <n v="1"/>
    <n v="461.69"/>
    <n v="0.05"/>
    <n v="438.61"/>
    <n v="88.1"/>
    <s v="Cash"/>
  </r>
  <r>
    <s v="ORD-00844"/>
    <x v="46"/>
    <s v="CUST-0284"/>
    <s v="Customer 0284"/>
    <s v="Small Business"/>
    <x v="2"/>
    <s v="Rajasthan"/>
    <s v="Jaipur"/>
    <x v="1"/>
    <s v="Laptops"/>
    <x v="10"/>
    <n v="4"/>
    <n v="63879.18"/>
    <n v="0"/>
    <n v="255516.72"/>
    <n v="27949.7"/>
    <s v="Card"/>
  </r>
  <r>
    <s v="ORD-01172"/>
    <x v="46"/>
    <s v="CUST-0021"/>
    <s v="Customer 0021"/>
    <s v="Small Business"/>
    <x v="1"/>
    <s v="Karnataka"/>
    <s v="Bengaluru"/>
    <x v="0"/>
    <s v="Tables"/>
    <x v="0"/>
    <n v="1"/>
    <n v="11658.28"/>
    <n v="0.15"/>
    <n v="9909.5400000000009"/>
    <n v="1361.23"/>
    <s v="Card"/>
  </r>
  <r>
    <s v="ORD-00480"/>
    <x v="47"/>
    <s v="CUST-0192"/>
    <s v="Customer 0192"/>
    <s v="Consumer"/>
    <x v="0"/>
    <s v="Maharashtra"/>
    <s v="Pune"/>
    <x v="2"/>
    <s v="Storage"/>
    <x v="2"/>
    <n v="1"/>
    <n v="758.56"/>
    <n v="0.15"/>
    <n v="644.78"/>
    <n v="124.43"/>
    <s v="Cash"/>
  </r>
  <r>
    <s v="ORD-00701"/>
    <x v="47"/>
    <s v="CUST-0038"/>
    <s v="Customer 0038"/>
    <s v="Consumer"/>
    <x v="0"/>
    <s v="Gujarat"/>
    <s v="Ahmedabad"/>
    <x v="1"/>
    <s v="Laptops"/>
    <x v="10"/>
    <n v="1"/>
    <n v="65178.720000000001"/>
    <n v="0.15"/>
    <n v="55401.91"/>
    <n v="8219.11"/>
    <s v="Net Banking"/>
  </r>
  <r>
    <s v="ORD-00655"/>
    <x v="47"/>
    <s v="CUST-0010"/>
    <s v="Customer 0010"/>
    <s v="Small Business"/>
    <x v="3"/>
    <s v="Bihar"/>
    <s v="Patna"/>
    <x v="0"/>
    <s v="Tables"/>
    <x v="12"/>
    <n v="2"/>
    <n v="6239.85"/>
    <n v="0"/>
    <n v="12479.7"/>
    <n v="1606.41"/>
    <s v="UPI"/>
  </r>
  <r>
    <s v="ORD-01488"/>
    <x v="47"/>
    <s v="CUST-0284"/>
    <s v="Customer 0284"/>
    <s v="Small Business"/>
    <x v="3"/>
    <s v="West Bengal"/>
    <s v="Kolkata"/>
    <x v="2"/>
    <s v="Stationery"/>
    <x v="13"/>
    <n v="4"/>
    <n v="611.75"/>
    <n v="0.05"/>
    <n v="2324.65"/>
    <n v="586.78"/>
    <s v="Cash"/>
  </r>
  <r>
    <s v="ORD-00953"/>
    <x v="47"/>
    <s v="CUST-0127"/>
    <s v="Customer 0127"/>
    <s v="Small Business"/>
    <x v="0"/>
    <s v="Maharashtra"/>
    <s v="Pune"/>
    <x v="1"/>
    <s v="Accessories"/>
    <x v="8"/>
    <n v="1"/>
    <n v="1776.59"/>
    <n v="0.1"/>
    <n v="1598.93"/>
    <n v="167.16"/>
    <s v="Cash"/>
  </r>
  <r>
    <s v="ORD-00768"/>
    <x v="48"/>
    <s v="CUST-0211"/>
    <s v="Customer 0211"/>
    <s v="Small Business"/>
    <x v="1"/>
    <s v="Tamil Nadu"/>
    <s v="Chennai"/>
    <x v="2"/>
    <s v="Storage"/>
    <x v="2"/>
    <n v="5"/>
    <n v="724.62"/>
    <n v="0.1"/>
    <n v="3260.79"/>
    <n v="1005.18"/>
    <s v="UPI"/>
  </r>
  <r>
    <s v="ORD-00082"/>
    <x v="48"/>
    <s v="CUST-0049"/>
    <s v="Customer 0049"/>
    <s v="Consumer"/>
    <x v="0"/>
    <s v="Maharashtra"/>
    <s v="Pune"/>
    <x v="1"/>
    <s v="Accessories"/>
    <x v="3"/>
    <n v="5"/>
    <n v="1189.75"/>
    <n v="0"/>
    <n v="5948.75"/>
    <n v="546.98"/>
    <s v="Cash"/>
  </r>
  <r>
    <s v="ORD-00537"/>
    <x v="48"/>
    <s v="CUST-0265"/>
    <s v="Customer 0265"/>
    <s v="Consumer"/>
    <x v="0"/>
    <s v="Maharashtra"/>
    <s v="Pune"/>
    <x v="1"/>
    <s v="Accessories"/>
    <x v="3"/>
    <n v="2"/>
    <n v="1216.93"/>
    <n v="0.15"/>
    <n v="2068.7800000000002"/>
    <n v="183.98"/>
    <s v="Cash"/>
  </r>
  <r>
    <s v="ORD-00907"/>
    <x v="48"/>
    <s v="CUST-0126"/>
    <s v="Customer 0126"/>
    <s v="Consumer"/>
    <x v="2"/>
    <s v="Uttar Pradesh"/>
    <s v="Lucknow"/>
    <x v="2"/>
    <s v="Paper"/>
    <x v="6"/>
    <n v="1"/>
    <n v="431.41"/>
    <n v="0.1"/>
    <n v="388.27"/>
    <n v="108.34"/>
    <s v="Card"/>
  </r>
  <r>
    <s v="ORD-00175"/>
    <x v="48"/>
    <s v="CUST-0111"/>
    <s v="Customer 0111"/>
    <s v="Consumer"/>
    <x v="0"/>
    <s v="Maharashtra"/>
    <s v="Pune"/>
    <x v="1"/>
    <s v="Accessories"/>
    <x v="8"/>
    <n v="5"/>
    <n v="1848.46"/>
    <n v="0.05"/>
    <n v="8780.18"/>
    <n v="1384.45"/>
    <s v="Net Banking"/>
  </r>
  <r>
    <s v="ORD-00762"/>
    <x v="48"/>
    <s v="CUST-0215"/>
    <s v="Customer 0215"/>
    <s v="Consumer"/>
    <x v="2"/>
    <s v="Delhi"/>
    <s v="Delhi"/>
    <x v="0"/>
    <s v="Chairs"/>
    <x v="7"/>
    <n v="3"/>
    <n v="8697.58"/>
    <n v="0.1"/>
    <n v="23483.47"/>
    <n v="3808.1"/>
    <s v="Net Banking"/>
  </r>
  <r>
    <s v="ORD-01089"/>
    <x v="48"/>
    <s v="CUST-0002"/>
    <s v="Customer 0002"/>
    <s v="Consumer"/>
    <x v="1"/>
    <s v="Tamil Nadu"/>
    <s v="Chennai"/>
    <x v="1"/>
    <s v="Laptops"/>
    <x v="10"/>
    <n v="1"/>
    <n v="62504.35"/>
    <n v="0.1"/>
    <n v="56253.919999999998"/>
    <n v="4047.84"/>
    <s v="Net Banking"/>
  </r>
  <r>
    <s v="ORD-00119"/>
    <x v="49"/>
    <s v="CUST-0208"/>
    <s v="Customer 0208"/>
    <s v="Consumer"/>
    <x v="1"/>
    <s v="Telangana"/>
    <s v="Hyderabad"/>
    <x v="2"/>
    <s v="Stationery"/>
    <x v="9"/>
    <n v="1"/>
    <n v="335.69"/>
    <n v="0"/>
    <n v="335.69"/>
    <n v="60.67"/>
    <s v="Net Banking"/>
  </r>
  <r>
    <s v="ORD-00430"/>
    <x v="49"/>
    <s v="CUST-0103"/>
    <s v="Customer 0103"/>
    <s v="Corporate"/>
    <x v="2"/>
    <s v="Delhi"/>
    <s v="Delhi"/>
    <x v="0"/>
    <s v="Tables"/>
    <x v="12"/>
    <n v="2"/>
    <n v="6657.48"/>
    <n v="0"/>
    <n v="13314.96"/>
    <n v="1651.48"/>
    <s v="Net Banking"/>
  </r>
  <r>
    <s v="ORD-01225"/>
    <x v="49"/>
    <s v="CUST-0275"/>
    <s v="Customer 0275"/>
    <s v="Consumer"/>
    <x v="2"/>
    <s v="Rajasthan"/>
    <s v="Jaipur"/>
    <x v="2"/>
    <s v="Stationery"/>
    <x v="9"/>
    <n v="1"/>
    <n v="357.76"/>
    <n v="0.15"/>
    <n v="304.10000000000002"/>
    <n v="39.619999999999997"/>
    <s v="Unknown"/>
  </r>
  <r>
    <s v="ORD-01431"/>
    <x v="49"/>
    <s v="CUST-0225"/>
    <s v="Customer 0225"/>
    <s v="Corporate"/>
    <x v="0"/>
    <s v="Gujarat"/>
    <s v="Ahmedabad"/>
    <x v="1"/>
    <s v="Accessories"/>
    <x v="3"/>
    <n v="2"/>
    <n v="1211.26"/>
    <n v="0.2"/>
    <n v="1938.02"/>
    <n v="143.68"/>
    <s v="UPI"/>
  </r>
  <r>
    <s v="ORD-00448"/>
    <x v="49"/>
    <s v="CUST-0270"/>
    <s v="Customer 0270"/>
    <s v="Corporate"/>
    <x v="3"/>
    <s v="Bihar"/>
    <s v="Patna"/>
    <x v="1"/>
    <s v="Phones"/>
    <x v="11"/>
    <n v="3"/>
    <n v="18682.7"/>
    <n v="0.05"/>
    <n v="53245.69"/>
    <n v="9325.7000000000007"/>
    <s v="Card"/>
  </r>
  <r>
    <s v="ORD-00371"/>
    <x v="49"/>
    <s v="CUST-0100"/>
    <s v="Customer 0100"/>
    <s v="Corporate"/>
    <x v="0"/>
    <s v="Gujarat"/>
    <s v="Ahmedabad"/>
    <x v="1"/>
    <s v="Phones"/>
    <x v="1"/>
    <n v="5"/>
    <n v="41242.54"/>
    <n v="0"/>
    <n v="206212.7"/>
    <n v="29147.08"/>
    <s v="UPI"/>
  </r>
  <r>
    <s v="ORD-01226"/>
    <x v="50"/>
    <s v="CUST-0064"/>
    <s v="Customer 0064"/>
    <s v="Consumer"/>
    <x v="3"/>
    <s v="Bihar"/>
    <s v="Patna"/>
    <x v="2"/>
    <s v="Stationery"/>
    <x v="9"/>
    <n v="1"/>
    <n v="351.77"/>
    <n v="0.1"/>
    <n v="316.58999999999997"/>
    <n v="51.16"/>
    <s v="UPI"/>
  </r>
  <r>
    <s v="ORD-01049"/>
    <x v="50"/>
    <s v="CUST-0132"/>
    <s v="Customer 0132"/>
    <s v="Consumer"/>
    <x v="2"/>
    <s v="Delhi"/>
    <s v="Delhi"/>
    <x v="2"/>
    <s v="Stationery"/>
    <x v="9"/>
    <n v="2"/>
    <n v="346.68"/>
    <n v="0.1"/>
    <n v="624.02"/>
    <n v="104.39"/>
    <s v="Cash"/>
  </r>
  <r>
    <s v="ORD-00819"/>
    <x v="50"/>
    <s v="CUST-0221"/>
    <s v="Customer 0221"/>
    <s v="Corporate"/>
    <x v="1"/>
    <s v="Tamil Nadu"/>
    <s v="Chennai"/>
    <x v="1"/>
    <s v="Accessories"/>
    <x v="8"/>
    <n v="3"/>
    <n v="1774.83"/>
    <n v="0"/>
    <n v="5324.49"/>
    <n v="1147.69"/>
    <s v="Card"/>
  </r>
  <r>
    <s v="ORD-00869"/>
    <x v="50"/>
    <s v="CUST-0269"/>
    <s v="Customer 0269"/>
    <s v="Consumer"/>
    <x v="2"/>
    <s v="Delhi"/>
    <s v="Delhi"/>
    <x v="1"/>
    <s v="Laptops"/>
    <x v="10"/>
    <n v="3"/>
    <n v="65641.14"/>
    <n v="0.1"/>
    <n v="177231.08"/>
    <n v="16634.61"/>
    <s v="Net Banking"/>
  </r>
  <r>
    <s v="ORD-00039"/>
    <x v="51"/>
    <s v="CUST-0187"/>
    <s v="Customer 0187"/>
    <s v="Consumer"/>
    <x v="3"/>
    <s v="Odisha"/>
    <s v="Bhubaneswar"/>
    <x v="2"/>
    <s v="Storage"/>
    <x v="2"/>
    <n v="1"/>
    <n v="776.04"/>
    <n v="0.2"/>
    <n v="620.83000000000004"/>
    <n v="95.07"/>
    <s v="Cash"/>
  </r>
  <r>
    <s v="ORD-00146"/>
    <x v="51"/>
    <s v="CUST-0281"/>
    <s v="Customer 0281"/>
    <s v="Corporate"/>
    <x v="3"/>
    <s v="West Bengal"/>
    <s v="Kolkata"/>
    <x v="2"/>
    <s v="Stationery"/>
    <x v="9"/>
    <n v="2"/>
    <n v="349.27"/>
    <n v="0"/>
    <n v="698.54"/>
    <n v="131.96"/>
    <s v="Card"/>
  </r>
  <r>
    <s v="ORD-00671"/>
    <x v="51"/>
    <s v="CUST-0234"/>
    <s v="Customer 0234"/>
    <s v="Corporate"/>
    <x v="0"/>
    <s v="Gujarat"/>
    <s v="Ahmedabad"/>
    <x v="1"/>
    <s v="Phones"/>
    <x v="11"/>
    <n v="1"/>
    <n v="18083.91"/>
    <n v="0.05"/>
    <n v="17179.71"/>
    <n v="2176.4699999999998"/>
    <s v="Card"/>
  </r>
  <r>
    <s v="ORD-01165"/>
    <x v="52"/>
    <s v="CUST-0273"/>
    <s v="Customer 0273"/>
    <s v="Consumer"/>
    <x v="2"/>
    <s v="Delhi"/>
    <s v="Delhi"/>
    <x v="0"/>
    <s v="Chairs"/>
    <x v="7"/>
    <n v="1"/>
    <n v="8320.58"/>
    <n v="0"/>
    <n v="8320.58"/>
    <n v="1833.77"/>
    <s v="Card"/>
  </r>
  <r>
    <s v="ORD-00683"/>
    <x v="52"/>
    <s v="CUST-0138"/>
    <s v="Customer 0138"/>
    <s v="Corporate"/>
    <x v="1"/>
    <s v="Telangana"/>
    <s v="Hyderabad"/>
    <x v="2"/>
    <s v="Stationery"/>
    <x v="9"/>
    <n v="4"/>
    <n v="340.78"/>
    <n v="0"/>
    <n v="1363.12"/>
    <n v="447.03"/>
    <s v="Card"/>
  </r>
  <r>
    <s v="ORD-00028"/>
    <x v="52"/>
    <s v="CUST-0058"/>
    <s v="Customer 0058"/>
    <s v="Consumer"/>
    <x v="0"/>
    <s v="Maharashtra"/>
    <s v="Mumbai"/>
    <x v="1"/>
    <s v="Accessories"/>
    <x v="8"/>
    <n v="1"/>
    <n v="1774.83"/>
    <n v="0.15"/>
    <n v="1508.61"/>
    <n v="95.35"/>
    <s v="Net Banking"/>
  </r>
  <r>
    <s v="ORD-00352"/>
    <x v="52"/>
    <s v="CUST-0094"/>
    <s v="Customer 0094"/>
    <s v="Consumer"/>
    <x v="1"/>
    <s v="Telangana"/>
    <s v="Hyderabad"/>
    <x v="1"/>
    <s v="Accessories"/>
    <x v="3"/>
    <n v="1"/>
    <n v="1213.82"/>
    <n v="0.1"/>
    <n v="1092.44"/>
    <n v="201.82"/>
    <s v="Cash"/>
  </r>
  <r>
    <s v="ORD-00533"/>
    <x v="52"/>
    <s v="CUST-0148"/>
    <s v="Customer 0148"/>
    <s v="Corporate"/>
    <x v="1"/>
    <s v="Telangana"/>
    <s v="Hyderabad"/>
    <x v="2"/>
    <s v="Storage"/>
    <x v="2"/>
    <n v="1"/>
    <n v="716.2"/>
    <n v="0"/>
    <n v="716.2"/>
    <n v="144.31"/>
    <s v="Cash"/>
  </r>
  <r>
    <s v="ORD-00850"/>
    <x v="53"/>
    <s v="CUST-0007"/>
    <s v="Customer 0007"/>
    <s v="Corporate"/>
    <x v="1"/>
    <s v="Karnataka"/>
    <s v="Bengaluru"/>
    <x v="1"/>
    <s v="Phones"/>
    <x v="11"/>
    <n v="1"/>
    <n v="18887.05"/>
    <n v="0"/>
    <n v="18887.05"/>
    <n v="1847.26"/>
    <s v="Card"/>
  </r>
  <r>
    <s v="ORD-00735"/>
    <x v="53"/>
    <s v="CUST-0173"/>
    <s v="Customer 0173"/>
    <s v="Corporate"/>
    <x v="2"/>
    <s v="Uttar Pradesh"/>
    <s v="Lucknow"/>
    <x v="1"/>
    <s v="Phones"/>
    <x v="11"/>
    <n v="1"/>
    <n v="18301.23"/>
    <n v="0.2"/>
    <n v="14640.98"/>
    <n v="729.23"/>
    <s v="Card"/>
  </r>
  <r>
    <s v="ORD-01235"/>
    <x v="53"/>
    <s v="CUST-0017"/>
    <s v="Customer 0017"/>
    <s v="Corporate"/>
    <x v="1"/>
    <s v="Karnataka"/>
    <s v="Bengaluru"/>
    <x v="1"/>
    <s v="Laptops"/>
    <x v="10"/>
    <n v="1"/>
    <n v="67112.160000000003"/>
    <n v="0.15"/>
    <n v="57045.34"/>
    <n v="4908.95"/>
    <s v="Cash"/>
  </r>
  <r>
    <s v="ORD-00712"/>
    <x v="53"/>
    <s v="CUST-0275"/>
    <s v="Customer 0275"/>
    <s v="Consumer"/>
    <x v="0"/>
    <s v="Maharashtra"/>
    <s v="Mumbai"/>
    <x v="2"/>
    <s v="Stationery"/>
    <x v="13"/>
    <n v="1"/>
    <n v="588.08000000000004"/>
    <n v="0.1"/>
    <n v="529.27"/>
    <n v="138.37"/>
    <s v="Card"/>
  </r>
  <r>
    <s v="ORD-00247"/>
    <x v="54"/>
    <s v="CUST-0013"/>
    <s v="Customer 0013"/>
    <s v="Corporate"/>
    <x v="3"/>
    <s v="Odisha"/>
    <s v="Bhubaneswar"/>
    <x v="2"/>
    <s v="Stationery"/>
    <x v="9"/>
    <n v="1"/>
    <n v="346.55"/>
    <n v="0.15"/>
    <n v="294.57"/>
    <n v="55.32"/>
    <s v="Cash"/>
  </r>
  <r>
    <s v="ORD-01366"/>
    <x v="54"/>
    <s v="CUST-0145"/>
    <s v="Customer 0145"/>
    <s v="Small Business"/>
    <x v="2"/>
    <s v="Rajasthan"/>
    <s v="Jaipur"/>
    <x v="1"/>
    <s v="Phones"/>
    <x v="1"/>
    <n v="1"/>
    <n v="39957.040000000001"/>
    <n v="0.2"/>
    <n v="31965.63"/>
    <n v="1065.76"/>
    <s v="Card"/>
  </r>
  <r>
    <s v="ORD-00814"/>
    <x v="54"/>
    <s v="CUST-0142"/>
    <s v="Customer 0142"/>
    <s v="Small Business"/>
    <x v="2"/>
    <s v="Rajasthan"/>
    <s v="Jaipur"/>
    <x v="1"/>
    <s v="Laptops"/>
    <x v="10"/>
    <n v="1"/>
    <n v="66127.86"/>
    <n v="0.15"/>
    <n v="56208.68"/>
    <n v="3094.05"/>
    <s v="UPI"/>
  </r>
  <r>
    <s v="ORD-00202"/>
    <x v="54"/>
    <s v="CUST-0267"/>
    <s v="Customer 0267"/>
    <s v="Consumer"/>
    <x v="1"/>
    <s v="Telangana"/>
    <s v="Hyderabad"/>
    <x v="1"/>
    <s v="Accessories"/>
    <x v="3"/>
    <n v="2"/>
    <n v="1235.1400000000001"/>
    <n v="0.05"/>
    <n v="2346.77"/>
    <n v="347.16"/>
    <s v="UPI"/>
  </r>
  <r>
    <s v="ORD-01174"/>
    <x v="54"/>
    <s v="CUST-0056"/>
    <s v="Customer 0056"/>
    <s v="Consumer"/>
    <x v="1"/>
    <s v="Tamil Nadu"/>
    <s v="Chennai"/>
    <x v="1"/>
    <s v="Accessories"/>
    <x v="8"/>
    <n v="2"/>
    <n v="1743.04"/>
    <n v="0.15"/>
    <n v="2963.17"/>
    <n v="325.20999999999998"/>
    <s v="Cash"/>
  </r>
  <r>
    <s v="ORD-00230"/>
    <x v="55"/>
    <s v="CUST-0118"/>
    <s v="Customer 0118"/>
    <s v="Corporate"/>
    <x v="1"/>
    <s v="Telangana"/>
    <s v="Hyderabad"/>
    <x v="2"/>
    <s v="Paper"/>
    <x v="6"/>
    <n v="3"/>
    <n v="435.01"/>
    <n v="0.05"/>
    <n v="1239.78"/>
    <n v="284.31"/>
    <s v="UPI"/>
  </r>
  <r>
    <s v="ORD-00460"/>
    <x v="56"/>
    <s v="CUST-0247"/>
    <s v="Customer 0247"/>
    <s v="Small Business"/>
    <x v="3"/>
    <s v="Odisha"/>
    <s v="Bhubaneswar"/>
    <x v="1"/>
    <s v="Laptops"/>
    <x v="5"/>
    <n v="1"/>
    <n v="49652.71"/>
    <n v="0.1"/>
    <n v="44687.44"/>
    <n v="8055.57"/>
    <s v="Net Banking"/>
  </r>
  <r>
    <s v="ORD-00515"/>
    <x v="56"/>
    <s v="CUST-0197"/>
    <s v="Customer 0197"/>
    <s v="Consumer"/>
    <x v="2"/>
    <s v="Uttar Pradesh"/>
    <s v="Lucknow"/>
    <x v="1"/>
    <s v="Phones"/>
    <x v="11"/>
    <n v="4"/>
    <n v="17589"/>
    <n v="0"/>
    <n v="70356"/>
    <n v="6650.46"/>
    <s v="Cash"/>
  </r>
  <r>
    <s v="ORD-00964"/>
    <x v="56"/>
    <s v="CUST-0014"/>
    <s v="Customer 0014"/>
    <s v="Corporate"/>
    <x v="0"/>
    <s v="Maharashtra"/>
    <s v="Pune"/>
    <x v="1"/>
    <s v="Accessories"/>
    <x v="3"/>
    <n v="4"/>
    <n v="1252.72"/>
    <n v="0.05"/>
    <n v="4760.34"/>
    <n v="599.41"/>
    <s v="Cash"/>
  </r>
  <r>
    <s v="ORD-00703"/>
    <x v="56"/>
    <s v="CUST-0145"/>
    <s v="Customer 0145"/>
    <s v="Consumer"/>
    <x v="1"/>
    <s v="Tamil Nadu"/>
    <s v="Chennai"/>
    <x v="1"/>
    <s v="Laptops"/>
    <x v="5"/>
    <n v="1"/>
    <n v="45794.81"/>
    <n v="0.15"/>
    <n v="38925.589999999997"/>
    <n v="6293.67"/>
    <s v="Card"/>
  </r>
  <r>
    <s v="ORD-01472"/>
    <x v="57"/>
    <s v="CUST-0098"/>
    <s v="Customer 0098"/>
    <s v="Consumer"/>
    <x v="3"/>
    <s v="Bihar"/>
    <s v="Patna"/>
    <x v="1"/>
    <s v="Accessories"/>
    <x v="8"/>
    <n v="2"/>
    <n v="1827.1"/>
    <n v="0.05"/>
    <n v="3471.49"/>
    <n v="391.63"/>
    <s v="Card"/>
  </r>
  <r>
    <s v="ORD-00708"/>
    <x v="57"/>
    <s v="CUST-0132"/>
    <s v="Customer 0132"/>
    <s v="Consumer"/>
    <x v="1"/>
    <s v="Karnataka"/>
    <s v="Bengaluru"/>
    <x v="1"/>
    <s v="Phones"/>
    <x v="1"/>
    <n v="5"/>
    <n v="42750.91"/>
    <n v="0"/>
    <n v="213754.55"/>
    <n v="22369.75"/>
    <s v="Cash"/>
  </r>
  <r>
    <s v="ORD-00590"/>
    <x v="58"/>
    <s v="CUST-0114"/>
    <s v="Customer 0114"/>
    <s v="Consumer"/>
    <x v="0"/>
    <s v="Maharashtra"/>
    <s v="Mumbai"/>
    <x v="2"/>
    <s v="Storage"/>
    <x v="2"/>
    <n v="1"/>
    <n v="760.38"/>
    <n v="0.1"/>
    <n v="684.34"/>
    <n v="189.61"/>
    <s v="Card"/>
  </r>
  <r>
    <s v="ORD-00136"/>
    <x v="58"/>
    <s v="CUST-0130"/>
    <s v="Customer 0130"/>
    <s v="Consumer"/>
    <x v="2"/>
    <s v="Rajasthan"/>
    <s v="Jaipur"/>
    <x v="0"/>
    <s v="Storage"/>
    <x v="4"/>
    <n v="1"/>
    <n v="14703"/>
    <n v="0"/>
    <n v="14703"/>
    <n v="2292.9699999999998"/>
    <s v="UPI"/>
  </r>
  <r>
    <s v="ORD-00715"/>
    <x v="58"/>
    <s v="CUST-0108"/>
    <s v="Customer 0108"/>
    <s v="Consumer"/>
    <x v="0"/>
    <s v="Gujarat"/>
    <s v="Ahmedabad"/>
    <x v="1"/>
    <s v="Laptops"/>
    <x v="10"/>
    <n v="3"/>
    <n v="63610.46"/>
    <n v="0.1"/>
    <n v="171748.24"/>
    <n v="22254.83"/>
    <s v="Net Banking"/>
  </r>
  <r>
    <s v="ORD-00002"/>
    <x v="58"/>
    <s v="CUST-0294"/>
    <s v="Customer 0294"/>
    <s v="Consumer"/>
    <x v="2"/>
    <s v="Rajasthan"/>
    <s v="Jaipur"/>
    <x v="0"/>
    <s v="Tables"/>
    <x v="0"/>
    <n v="5"/>
    <n v="12133.98"/>
    <n v="0.1"/>
    <n v="54602.91"/>
    <n v="6036.57"/>
    <s v="Cash"/>
  </r>
  <r>
    <s v="ORD-01407"/>
    <x v="58"/>
    <s v="CUST-0207"/>
    <s v="Customer 0207"/>
    <s v="Small Business"/>
    <x v="3"/>
    <s v="Bihar"/>
    <s v="Patna"/>
    <x v="1"/>
    <s v="Phones"/>
    <x v="1"/>
    <n v="4"/>
    <n v="41565.46"/>
    <n v="0.2"/>
    <n v="133009.47"/>
    <n v="22025.19"/>
    <s v="Cash"/>
  </r>
  <r>
    <s v="ORD-00845"/>
    <x v="58"/>
    <s v="CUST-0235"/>
    <s v="Customer 0235"/>
    <s v="Small Business"/>
    <x v="0"/>
    <s v="Gujarat"/>
    <s v="Ahmedabad"/>
    <x v="0"/>
    <s v="Tables"/>
    <x v="12"/>
    <n v="3"/>
    <n v="6434.06"/>
    <n v="0"/>
    <n v="19302.18"/>
    <n v="2841.75"/>
    <s v="Card"/>
  </r>
  <r>
    <s v="ORD-01315"/>
    <x v="59"/>
    <s v="CUST-0218"/>
    <s v="Customer 0218"/>
    <s v="Consumer"/>
    <x v="3"/>
    <s v="West Bengal"/>
    <s v="Kolkata"/>
    <x v="2"/>
    <s v="Paper"/>
    <x v="6"/>
    <n v="3"/>
    <n v="447.93"/>
    <n v="0"/>
    <n v="1343.79"/>
    <n v="334"/>
    <s v="Net Banking"/>
  </r>
  <r>
    <s v="ORD-01012"/>
    <x v="59"/>
    <s v="CUST-0173"/>
    <s v="Customer 0173"/>
    <s v="Consumer"/>
    <x v="1"/>
    <s v="Tamil Nadu"/>
    <s v="Chennai"/>
    <x v="1"/>
    <s v="Laptops"/>
    <x v="5"/>
    <n v="2"/>
    <n v="46633.06"/>
    <n v="0.15"/>
    <n v="79276.2"/>
    <n v="4303.6400000000003"/>
    <s v="UPI"/>
  </r>
  <r>
    <s v="ORD-00700"/>
    <x v="59"/>
    <s v="CUST-0128"/>
    <s v="Customer 0128"/>
    <s v="Consumer"/>
    <x v="2"/>
    <s v="Uttar Pradesh"/>
    <s v="Lucknow"/>
    <x v="1"/>
    <s v="Laptops"/>
    <x v="5"/>
    <n v="1"/>
    <n v="48679.58"/>
    <n v="0.2"/>
    <n v="38943.660000000003"/>
    <n v="1626.75"/>
    <s v="UPI"/>
  </r>
  <r>
    <s v="ORD-01345"/>
    <x v="59"/>
    <s v="CUST-0141"/>
    <s v="Customer 0141"/>
    <s v="Consumer"/>
    <x v="0"/>
    <s v="Maharashtra"/>
    <s v="Pune"/>
    <x v="0"/>
    <s v="Storage"/>
    <x v="4"/>
    <n v="2"/>
    <n v="15078.1"/>
    <n v="0.1"/>
    <n v="27140.58"/>
    <n v="6806.77"/>
    <s v="UPI"/>
  </r>
  <r>
    <s v="ORD-00710"/>
    <x v="60"/>
    <s v="CUST-0195"/>
    <s v="Customer 0195"/>
    <s v="Consumer"/>
    <x v="2"/>
    <s v="Rajasthan"/>
    <s v="Jaipur"/>
    <x v="2"/>
    <s v="Storage"/>
    <x v="2"/>
    <n v="1"/>
    <n v="763.79"/>
    <n v="0.1"/>
    <n v="687.41"/>
    <n v="151.86000000000001"/>
    <s v="Cash"/>
  </r>
  <r>
    <s v="ORD-01352"/>
    <x v="60"/>
    <s v="CUST-0026"/>
    <s v="Customer 0026"/>
    <s v="Consumer"/>
    <x v="3"/>
    <s v="Bihar"/>
    <s v="Patna"/>
    <x v="0"/>
    <s v="Tables"/>
    <x v="0"/>
    <n v="3"/>
    <n v="11820.84"/>
    <n v="0.05"/>
    <n v="33689.39"/>
    <n v="4796.1000000000004"/>
    <s v="Card"/>
  </r>
  <r>
    <s v="ORD-01361"/>
    <x v="60"/>
    <s v="CUST-0149"/>
    <s v="Customer 0149"/>
    <s v="Consumer"/>
    <x v="2"/>
    <s v="Uttar Pradesh"/>
    <s v="Lucknow"/>
    <x v="2"/>
    <s v="Stationery"/>
    <x v="9"/>
    <n v="2"/>
    <n v="343.82"/>
    <n v="0.05"/>
    <n v="653.26"/>
    <n v="140.13"/>
    <s v="Card"/>
  </r>
  <r>
    <s v="ORD-00691"/>
    <x v="60"/>
    <s v="CUST-0122"/>
    <s v="Customer 0122"/>
    <s v="Consumer"/>
    <x v="1"/>
    <s v="Karnataka"/>
    <s v="Bengaluru"/>
    <x v="2"/>
    <s v="Stationery"/>
    <x v="13"/>
    <n v="2"/>
    <n v="616.23"/>
    <n v="0.2"/>
    <n v="985.97"/>
    <n v="101.02"/>
    <s v="Cash"/>
  </r>
  <r>
    <s v="ORD-00071"/>
    <x v="61"/>
    <s v="CUST-0267"/>
    <s v="Customer 0267"/>
    <s v="Corporate"/>
    <x v="0"/>
    <s v="Maharashtra"/>
    <s v="Pune"/>
    <x v="2"/>
    <s v="Stationery"/>
    <x v="9"/>
    <n v="1"/>
    <n v="338.25"/>
    <n v="0"/>
    <n v="338.25"/>
    <n v="105.84"/>
    <s v="Net Banking"/>
  </r>
  <r>
    <s v="ORD-01425"/>
    <x v="61"/>
    <s v="CUST-0165"/>
    <s v="Customer 0165"/>
    <s v="Small Business"/>
    <x v="3"/>
    <s v="West Bengal"/>
    <s v="Kolkata"/>
    <x v="1"/>
    <s v="Laptops"/>
    <x v="5"/>
    <n v="2"/>
    <n v="49319.28"/>
    <n v="0.05"/>
    <n v="93706.63"/>
    <n v="16103.32"/>
    <s v="Cash"/>
  </r>
  <r>
    <s v="ORD-00038"/>
    <x v="61"/>
    <s v="CUST-0224"/>
    <s v="Customer 0224"/>
    <s v="Small Business"/>
    <x v="1"/>
    <s v="Telangana"/>
    <s v="Hyderabad"/>
    <x v="0"/>
    <s v="Storage"/>
    <x v="4"/>
    <n v="2"/>
    <n v="14869.09"/>
    <n v="0.15"/>
    <n v="25277.45"/>
    <n v="2215.67"/>
    <s v="Net Banking"/>
  </r>
  <r>
    <s v="ORD-00611"/>
    <x v="61"/>
    <s v="CUST-0225"/>
    <s v="Customer 0225"/>
    <s v="Consumer"/>
    <x v="3"/>
    <s v="Bihar"/>
    <s v="Patna"/>
    <x v="1"/>
    <s v="Accessories"/>
    <x v="8"/>
    <n v="5"/>
    <n v="1711.82"/>
    <n v="0"/>
    <n v="8559.1"/>
    <n v="863.04"/>
    <s v="Net Banking"/>
  </r>
  <r>
    <s v="ORD-00820"/>
    <x v="61"/>
    <s v="CUST-0039"/>
    <s v="Customer 0039"/>
    <s v="Consumer"/>
    <x v="1"/>
    <s v="Telangana"/>
    <s v="Hyderabad"/>
    <x v="2"/>
    <s v="Paper"/>
    <x v="6"/>
    <n v="1"/>
    <n v="469.05"/>
    <n v="0.2"/>
    <n v="375.24"/>
    <n v="67.23"/>
    <s v="Cash"/>
  </r>
  <r>
    <s v="ORD-00698"/>
    <x v="61"/>
    <s v="CUST-0065"/>
    <s v="Customer 0065"/>
    <s v="Small Business"/>
    <x v="1"/>
    <s v="Telangana"/>
    <s v="Hyderabad"/>
    <x v="2"/>
    <s v="Paper"/>
    <x v="6"/>
    <n v="4"/>
    <n v="439.44"/>
    <n v="0.15"/>
    <n v="1494.1"/>
    <n v="453.86"/>
    <s v="UPI"/>
  </r>
  <r>
    <s v="ORD-00008"/>
    <x v="61"/>
    <s v="CUST-0261"/>
    <s v="Customer 0261"/>
    <s v="Small Business"/>
    <x v="0"/>
    <s v="Maharashtra"/>
    <s v="Mumbai"/>
    <x v="2"/>
    <s v="Stationery"/>
    <x v="13"/>
    <n v="3"/>
    <n v="621"/>
    <n v="0.15"/>
    <n v="1583.55"/>
    <n v="350.46"/>
    <s v="Net Banking"/>
  </r>
  <r>
    <s v="ORD-01365"/>
    <x v="62"/>
    <s v="CUST-0215"/>
    <s v="Customer 0215"/>
    <s v="Corporate"/>
    <x v="2"/>
    <s v="Rajasthan"/>
    <s v="Jaipur"/>
    <x v="0"/>
    <s v="Tables"/>
    <x v="12"/>
    <n v="4"/>
    <n v="6569.44"/>
    <n v="0.15"/>
    <n v="22336.1"/>
    <n v="5408.43"/>
    <s v="Net Banking"/>
  </r>
  <r>
    <s v="ORD-00081"/>
    <x v="62"/>
    <s v="CUST-0251"/>
    <s v="Customer 0251"/>
    <s v="Consumer"/>
    <x v="0"/>
    <s v="Gujarat"/>
    <s v="Ahmedabad"/>
    <x v="2"/>
    <s v="Stationery"/>
    <x v="9"/>
    <n v="1"/>
    <n v="347.16"/>
    <n v="0.05"/>
    <n v="329.8"/>
    <n v="106.67"/>
    <s v="Cash"/>
  </r>
  <r>
    <s v="ORD-00050"/>
    <x v="62"/>
    <s v="CUST-0005"/>
    <s v="Customer 0005"/>
    <s v="Consumer"/>
    <x v="3"/>
    <s v="Bihar"/>
    <s v="Patna"/>
    <x v="2"/>
    <s v="Storage"/>
    <x v="2"/>
    <n v="2"/>
    <n v="786.55"/>
    <n v="0.15"/>
    <n v="1337.13"/>
    <n v="190.95"/>
    <s v="UPI"/>
  </r>
  <r>
    <s v="ORD-01376"/>
    <x v="63"/>
    <s v="CUST-0121"/>
    <s v="Customer 0121"/>
    <s v="Consumer"/>
    <x v="1"/>
    <s v="Karnataka"/>
    <s v="Bengaluru"/>
    <x v="2"/>
    <s v="Paper"/>
    <x v="6"/>
    <n v="3"/>
    <n v="458.94"/>
    <n v="0.15"/>
    <n v="1170.3"/>
    <n v="297.79000000000002"/>
    <s v="Cash"/>
  </r>
  <r>
    <s v="ORD-01040"/>
    <x v="63"/>
    <s v="CUST-0298"/>
    <s v="Customer 0298"/>
    <s v="Corporate"/>
    <x v="0"/>
    <s v="Maharashtra"/>
    <s v="Mumbai"/>
    <x v="1"/>
    <s v="Accessories"/>
    <x v="8"/>
    <n v="1"/>
    <n v="1865.3"/>
    <n v="0.15"/>
    <n v="1585.5"/>
    <n v="190.3"/>
    <s v="UPI"/>
  </r>
  <r>
    <s v="ORD-00168"/>
    <x v="64"/>
    <s v="CUST-0183"/>
    <s v="Customer 0183"/>
    <s v="Consumer"/>
    <x v="0"/>
    <s v="Maharashtra"/>
    <s v="Pune"/>
    <x v="1"/>
    <s v="Accessories"/>
    <x v="3"/>
    <n v="2"/>
    <n v="1171.18"/>
    <n v="0"/>
    <n v="2342.36"/>
    <n v="436.71"/>
    <s v="UPI"/>
  </r>
  <r>
    <s v="ORD-00828"/>
    <x v="64"/>
    <s v="CUST-0260"/>
    <s v="Customer 0260"/>
    <s v="Corporate"/>
    <x v="3"/>
    <s v="Bihar"/>
    <s v="Patna"/>
    <x v="1"/>
    <s v="Accessories"/>
    <x v="8"/>
    <n v="3"/>
    <n v="1876.95"/>
    <n v="0"/>
    <n v="5630.85"/>
    <n v="502.73"/>
    <s v="Cash"/>
  </r>
  <r>
    <s v="ORD-01251"/>
    <x v="64"/>
    <s v="CUST-0111"/>
    <s v="Customer 0111"/>
    <s v="Small Business"/>
    <x v="1"/>
    <s v="Telangana"/>
    <s v="Hyderabad"/>
    <x v="0"/>
    <s v="Storage"/>
    <x v="4"/>
    <n v="1"/>
    <n v="13962.18"/>
    <n v="0.15"/>
    <n v="11867.85"/>
    <n v="2127.5"/>
    <s v="UPI"/>
  </r>
  <r>
    <s v="ORD-01072"/>
    <x v="64"/>
    <s v="CUST-0021"/>
    <s v="Customer 0021"/>
    <s v="Corporate"/>
    <x v="2"/>
    <s v="Delhi"/>
    <s v="Delhi"/>
    <x v="2"/>
    <s v="Stationery"/>
    <x v="9"/>
    <n v="1"/>
    <n v="361.74"/>
    <n v="0.1"/>
    <n v="325.57"/>
    <n v="67.92"/>
    <s v="Card"/>
  </r>
  <r>
    <s v="ORD-00585"/>
    <x v="65"/>
    <s v="CUST-0021"/>
    <s v="Customer 0021"/>
    <s v="Small Business"/>
    <x v="2"/>
    <s v="Uttar Pradesh"/>
    <s v="Lucknow"/>
    <x v="1"/>
    <s v="Laptops"/>
    <x v="10"/>
    <n v="2"/>
    <n v="63332.54"/>
    <n v="0.05"/>
    <n v="120331.83"/>
    <n v="15594.17"/>
    <s v="UPI"/>
  </r>
  <r>
    <s v="ORD-01159"/>
    <x v="65"/>
    <s v="CUST-0294"/>
    <s v="Customer 0294"/>
    <s v="Consumer"/>
    <x v="3"/>
    <s v="Odisha"/>
    <s v="Bhubaneswar"/>
    <x v="1"/>
    <s v="Laptops"/>
    <x v="5"/>
    <n v="2"/>
    <n v="50276.36"/>
    <n v="0.15"/>
    <n v="85469.81"/>
    <n v="10620.67"/>
    <s v="Net Banking"/>
  </r>
  <r>
    <s v="ORD-00960"/>
    <x v="65"/>
    <s v="CUST-0202"/>
    <s v="Customer 0202"/>
    <s v="Corporate"/>
    <x v="3"/>
    <s v="Bihar"/>
    <s v="Patna"/>
    <x v="2"/>
    <s v="Paper"/>
    <x v="6"/>
    <n v="3"/>
    <n v="453.96"/>
    <n v="0"/>
    <n v="1361.88"/>
    <n v="359.72"/>
    <s v="Net Banking"/>
  </r>
  <r>
    <s v="ORD-00528"/>
    <x v="66"/>
    <s v="CUST-0259"/>
    <s v="Customer 0259"/>
    <s v="Consumer"/>
    <x v="0"/>
    <s v="Maharashtra"/>
    <s v="Mumbai"/>
    <x v="1"/>
    <s v="Phones"/>
    <x v="1"/>
    <n v="2"/>
    <n v="40631.46"/>
    <n v="0.1"/>
    <n v="73136.63"/>
    <n v="9412.82"/>
    <s v="Net Banking"/>
  </r>
  <r>
    <s v="ORD-00232"/>
    <x v="66"/>
    <s v="CUST-0204"/>
    <s v="Customer 0204"/>
    <s v="Corporate"/>
    <x v="0"/>
    <s v="Maharashtra"/>
    <s v="Pune"/>
    <x v="1"/>
    <s v="Phones"/>
    <x v="11"/>
    <n v="1"/>
    <n v="18849.650000000001"/>
    <n v="0"/>
    <n v="18849.650000000001"/>
    <n v="2110.94"/>
    <s v="Cash"/>
  </r>
  <r>
    <s v="ORD-01153"/>
    <x v="67"/>
    <s v="CUST-0138"/>
    <s v="Customer 0138"/>
    <s v="Small Business"/>
    <x v="3"/>
    <s v="Odisha"/>
    <s v="Bhubaneswar"/>
    <x v="1"/>
    <s v="Accessories"/>
    <x v="3"/>
    <n v="2"/>
    <n v="1256.1400000000001"/>
    <n v="0.15"/>
    <n v="2135.44"/>
    <n v="367.27"/>
    <s v="Cash"/>
  </r>
  <r>
    <s v="ORD-00558"/>
    <x v="67"/>
    <s v="CUST-0114"/>
    <s v="Customer 0114"/>
    <s v="Consumer"/>
    <x v="0"/>
    <s v="Gujarat"/>
    <s v="Ahmedabad"/>
    <x v="0"/>
    <s v="Storage"/>
    <x v="4"/>
    <n v="3"/>
    <n v="13903.18"/>
    <n v="0.05"/>
    <n v="39624.06"/>
    <n v="6240.35"/>
    <s v="UPI"/>
  </r>
  <r>
    <s v="ORD-01358"/>
    <x v="67"/>
    <s v="CUST-0030"/>
    <s v="Customer 0030"/>
    <s v="Consumer"/>
    <x v="1"/>
    <s v="Tamil Nadu"/>
    <s v="Chennai"/>
    <x v="1"/>
    <s v="Phones"/>
    <x v="11"/>
    <n v="3"/>
    <n v="17486.57"/>
    <n v="0.2"/>
    <n v="41967.77"/>
    <n v="2661.63"/>
    <s v="UPI"/>
  </r>
  <r>
    <s v="ORD-01048"/>
    <x v="68"/>
    <s v="CUST-0078"/>
    <s v="Customer 0078"/>
    <s v="Small Business"/>
    <x v="2"/>
    <s v="Delhi"/>
    <s v="Delhi"/>
    <x v="1"/>
    <s v="Laptops"/>
    <x v="5"/>
    <n v="2"/>
    <n v="50396.78"/>
    <n v="0.1"/>
    <n v="90714.2"/>
    <n v="17238.310000000001"/>
    <s v="UPI"/>
  </r>
  <r>
    <s v="ORD-01378"/>
    <x v="68"/>
    <s v="CUST-0151"/>
    <s v="Customer 0151"/>
    <s v="Consumer"/>
    <x v="0"/>
    <s v="Gujarat"/>
    <s v="Ahmedabad"/>
    <x v="1"/>
    <s v="Phones"/>
    <x v="1"/>
    <n v="1"/>
    <n v="43176.95"/>
    <n v="0"/>
    <n v="43176.95"/>
    <n v="8023.24"/>
    <s v="Cash"/>
  </r>
  <r>
    <s v="ORD-00452"/>
    <x v="68"/>
    <s v="CUST-0273"/>
    <s v="Customer 0273"/>
    <s v="Consumer"/>
    <x v="0"/>
    <s v="Maharashtra"/>
    <s v="Mumbai"/>
    <x v="2"/>
    <s v="Stationery"/>
    <x v="13"/>
    <n v="1"/>
    <n v="609.65"/>
    <n v="0.2"/>
    <n v="487.72"/>
    <n v="128.61000000000001"/>
    <s v="Net Banking"/>
  </r>
  <r>
    <s v="ORD-01010"/>
    <x v="68"/>
    <s v="CUST-0081"/>
    <s v="Customer 0081"/>
    <s v="Consumer"/>
    <x v="3"/>
    <s v="Bihar"/>
    <s v="Patna"/>
    <x v="0"/>
    <s v="Storage"/>
    <x v="4"/>
    <n v="2"/>
    <n v="14840.33"/>
    <n v="0.2"/>
    <n v="23744.53"/>
    <n v="4915.63"/>
    <s v="Card"/>
  </r>
  <r>
    <s v="ORD-00574"/>
    <x v="68"/>
    <s v="CUST-0168"/>
    <s v="Customer 0168"/>
    <s v="Consumer"/>
    <x v="3"/>
    <s v="Bihar"/>
    <s v="Patna"/>
    <x v="2"/>
    <s v="Stationery"/>
    <x v="13"/>
    <n v="1"/>
    <n v="583.03"/>
    <n v="0.15"/>
    <n v="495.58"/>
    <n v="102.63"/>
    <s v="UPI"/>
  </r>
  <r>
    <s v="ORD-00031"/>
    <x v="68"/>
    <s v="CUST-0096"/>
    <s v="Customer 0096"/>
    <s v="Consumer"/>
    <x v="3"/>
    <s v="Bihar"/>
    <s v="Patna"/>
    <x v="1"/>
    <s v="Laptops"/>
    <x v="5"/>
    <n v="3"/>
    <n v="46943.68"/>
    <n v="0.1"/>
    <n v="126747.94"/>
    <n v="23477.99"/>
    <s v="Card"/>
  </r>
  <r>
    <s v="ORD-01440"/>
    <x v="68"/>
    <s v="CUST-0271"/>
    <s v="Customer 0271"/>
    <s v="Small Business"/>
    <x v="1"/>
    <s v="Telangana"/>
    <s v="Hyderabad"/>
    <x v="0"/>
    <s v="Chairs"/>
    <x v="7"/>
    <n v="5"/>
    <n v="8826.23"/>
    <n v="0.1"/>
    <n v="39718.03"/>
    <n v="9701.15"/>
    <s v="Card"/>
  </r>
  <r>
    <s v="ORD-01402"/>
    <x v="69"/>
    <s v="CUST-0135"/>
    <s v="Customer 0135"/>
    <s v="Consumer"/>
    <x v="0"/>
    <s v="Maharashtra"/>
    <s v="Pune"/>
    <x v="0"/>
    <s v="Tables"/>
    <x v="12"/>
    <n v="1"/>
    <n v="6404.86"/>
    <n v="0.05"/>
    <n v="6084.62"/>
    <n v="1165.1099999999999"/>
    <s v="Net Banking"/>
  </r>
  <r>
    <s v="ORD-01138"/>
    <x v="69"/>
    <s v="CUST-0220"/>
    <s v="Customer 0220"/>
    <s v="Consumer"/>
    <x v="3"/>
    <s v="West Bengal"/>
    <s v="Kolkata"/>
    <x v="1"/>
    <s v="Laptops"/>
    <x v="10"/>
    <n v="2"/>
    <n v="68216.28"/>
    <n v="0.2"/>
    <n v="109146.05"/>
    <n v="1960.28"/>
    <s v="Cash"/>
  </r>
  <r>
    <s v="ORD-01041"/>
    <x v="69"/>
    <s v="CUST-0106"/>
    <s v="Customer 0106"/>
    <s v="Consumer"/>
    <x v="0"/>
    <s v="Maharashtra"/>
    <s v="Mumbai"/>
    <x v="1"/>
    <s v="Accessories"/>
    <x v="3"/>
    <n v="2"/>
    <n v="1231.6400000000001"/>
    <n v="0.05"/>
    <n v="2340.12"/>
    <n v="197"/>
    <s v="Net Banking"/>
  </r>
  <r>
    <s v="ORD-00362"/>
    <x v="69"/>
    <s v="CUST-0294"/>
    <s v="Customer 0294"/>
    <s v="Corporate"/>
    <x v="3"/>
    <s v="West Bengal"/>
    <s v="Kolkata"/>
    <x v="0"/>
    <s v="Storage"/>
    <x v="4"/>
    <n v="5"/>
    <n v="14839.13"/>
    <n v="0"/>
    <n v="74195.649999999994"/>
    <n v="16408.97"/>
    <s v="UPI"/>
  </r>
  <r>
    <s v="ORD-00983"/>
    <x v="70"/>
    <s v="CUST-0115"/>
    <s v="Customer 0115"/>
    <s v="Corporate"/>
    <x v="0"/>
    <s v="Gujarat"/>
    <s v="Ahmedabad"/>
    <x v="0"/>
    <s v="Chairs"/>
    <x v="7"/>
    <n v="2"/>
    <n v="8798.44"/>
    <n v="0"/>
    <n v="17596.88"/>
    <n v="3314.98"/>
    <s v="Cash"/>
  </r>
  <r>
    <s v="ORD-00978"/>
    <x v="70"/>
    <s v="CUST-0120"/>
    <s v="Customer 0120"/>
    <s v="Small Business"/>
    <x v="3"/>
    <s v="Odisha"/>
    <s v="Bhubaneswar"/>
    <x v="2"/>
    <s v="Stationery"/>
    <x v="13"/>
    <n v="2"/>
    <n v="584.41"/>
    <n v="0.15"/>
    <n v="993.5"/>
    <n v="187.82"/>
    <s v="Net Banking"/>
  </r>
  <r>
    <s v="ORD-00311"/>
    <x v="70"/>
    <s v="CUST-0011"/>
    <s v="Customer 0011"/>
    <s v="Consumer"/>
    <x v="2"/>
    <s v="Rajasthan"/>
    <s v="Jaipur"/>
    <x v="2"/>
    <s v="Stationery"/>
    <x v="9"/>
    <n v="1"/>
    <n v="340.7"/>
    <n v="0.05"/>
    <n v="323.66000000000003"/>
    <n v="57.26"/>
    <s v="Cash"/>
  </r>
  <r>
    <s v="ORD-00997"/>
    <x v="70"/>
    <s v="CUST-0094"/>
    <s v="Customer 0094"/>
    <s v="Small Business"/>
    <x v="3"/>
    <s v="Odisha"/>
    <s v="Bhubaneswar"/>
    <x v="2"/>
    <s v="Paper"/>
    <x v="6"/>
    <n v="2"/>
    <n v="471.38"/>
    <n v="0.15"/>
    <n v="801.35"/>
    <n v="241.35"/>
    <s v="Card"/>
  </r>
  <r>
    <s v="ORD-00381"/>
    <x v="70"/>
    <s v="CUST-0076"/>
    <s v="Customer 0076"/>
    <s v="Consumer"/>
    <x v="2"/>
    <s v="Uttar Pradesh"/>
    <s v="Lucknow"/>
    <x v="2"/>
    <s v="Paper"/>
    <x v="6"/>
    <n v="2"/>
    <n v="430.28"/>
    <n v="0"/>
    <n v="860.56"/>
    <n v="221.23"/>
    <s v="Cash"/>
  </r>
  <r>
    <s v="ORD-00219"/>
    <x v="70"/>
    <s v="CUST-0028"/>
    <s v="Customer 0028"/>
    <s v="Consumer"/>
    <x v="3"/>
    <s v="Bihar"/>
    <s v="Patna"/>
    <x v="1"/>
    <s v="Phones"/>
    <x v="11"/>
    <n v="3"/>
    <n v="17572.82"/>
    <n v="0.2"/>
    <n v="42174.77"/>
    <n v="3136.74"/>
    <s v="Cash"/>
  </r>
  <r>
    <s v="ORD-00530"/>
    <x v="70"/>
    <s v="CUST-0091"/>
    <s v="Customer 0091"/>
    <s v="Corporate"/>
    <x v="1"/>
    <s v="Tamil Nadu"/>
    <s v="Chennai"/>
    <x v="2"/>
    <s v="Storage"/>
    <x v="2"/>
    <n v="1"/>
    <n v="759.63"/>
    <n v="0.15"/>
    <n v="645.69000000000005"/>
    <n v="142.88"/>
    <s v="UPI"/>
  </r>
  <r>
    <s v="ORD-01224"/>
    <x v="71"/>
    <s v="CUST-0271"/>
    <s v="Customer 0271"/>
    <s v="Consumer"/>
    <x v="0"/>
    <s v="Gujarat"/>
    <s v="Ahmedabad"/>
    <x v="0"/>
    <s v="Storage"/>
    <x v="4"/>
    <n v="2"/>
    <n v="14521.67"/>
    <n v="0.1"/>
    <n v="26139.01"/>
    <n v="5807.66"/>
    <s v="Cash"/>
  </r>
  <r>
    <s v="ORD-00886"/>
    <x v="72"/>
    <s v="CUST-0010"/>
    <s v="Customer 0010"/>
    <s v="Small Business"/>
    <x v="3"/>
    <s v="Bihar"/>
    <s v="Patna"/>
    <x v="1"/>
    <s v="Phones"/>
    <x v="11"/>
    <n v="4"/>
    <n v="18429.8"/>
    <n v="0"/>
    <n v="73719.199999999997"/>
    <n v="15804.54"/>
    <s v="Cash"/>
  </r>
  <r>
    <s v="ORD-01182"/>
    <x v="72"/>
    <s v="CUST-0278"/>
    <s v="Customer 0278"/>
    <s v="Consumer"/>
    <x v="1"/>
    <s v="Tamil Nadu"/>
    <s v="Chennai"/>
    <x v="1"/>
    <s v="Laptops"/>
    <x v="10"/>
    <n v="2"/>
    <n v="67102.44"/>
    <n v="0.1"/>
    <n v="120784.39"/>
    <n v="23814.54"/>
    <s v="Cash"/>
  </r>
  <r>
    <s v="ORD-01141"/>
    <x v="72"/>
    <s v="CUST-0167"/>
    <s v="Customer 0167"/>
    <s v="Corporate"/>
    <x v="1"/>
    <s v="Tamil Nadu"/>
    <s v="Chennai"/>
    <x v="0"/>
    <s v="Storage"/>
    <x v="4"/>
    <n v="4"/>
    <n v="14998.3"/>
    <n v="0.1"/>
    <n v="53993.88"/>
    <n v="8063.32"/>
    <s v="Net Banking"/>
  </r>
  <r>
    <s v="ORD-00324"/>
    <x v="72"/>
    <s v="CUST-0129"/>
    <s v="Customer 0129"/>
    <s v="Consumer"/>
    <x v="3"/>
    <s v="Odisha"/>
    <s v="Bhubaneswar"/>
    <x v="2"/>
    <s v="Storage"/>
    <x v="2"/>
    <n v="4"/>
    <n v="733.38"/>
    <n v="0.05"/>
    <n v="2786.84"/>
    <n v="740.31"/>
    <s v="Cash"/>
  </r>
  <r>
    <s v="ORD-01448"/>
    <x v="72"/>
    <s v="CUST-0222"/>
    <s v="Customer 0222"/>
    <s v="Corporate"/>
    <x v="2"/>
    <s v="Delhi"/>
    <s v="Delhi"/>
    <x v="2"/>
    <s v="Paper"/>
    <x v="6"/>
    <n v="1"/>
    <n v="445.77"/>
    <n v="0.15"/>
    <n v="378.9"/>
    <n v="92.14"/>
    <s v="Cash"/>
  </r>
  <r>
    <s v="ORD-01238"/>
    <x v="72"/>
    <s v="CUST-0095"/>
    <s v="Customer 0095"/>
    <s v="Consumer"/>
    <x v="2"/>
    <s v="Rajasthan"/>
    <s v="Jaipur"/>
    <x v="2"/>
    <s v="Storage"/>
    <x v="2"/>
    <n v="2"/>
    <n v="764.11"/>
    <n v="0"/>
    <n v="1528.22"/>
    <n v="522.57000000000005"/>
    <s v="UPI"/>
  </r>
  <r>
    <s v="ORD-00189"/>
    <x v="73"/>
    <s v="CUST-0161"/>
    <s v="Customer 0161"/>
    <s v="Consumer"/>
    <x v="0"/>
    <s v="Maharashtra"/>
    <s v="Pune"/>
    <x v="2"/>
    <s v="Storage"/>
    <x v="2"/>
    <n v="2"/>
    <n v="721.38"/>
    <n v="0.15"/>
    <n v="1226.3499999999999"/>
    <n v="227.47"/>
    <s v="Cash"/>
  </r>
  <r>
    <s v="ORD-00440"/>
    <x v="73"/>
    <s v="CUST-0130"/>
    <s v="Customer 0130"/>
    <s v="Small Business"/>
    <x v="1"/>
    <s v="Telangana"/>
    <s v="Hyderabad"/>
    <x v="1"/>
    <s v="Laptops"/>
    <x v="10"/>
    <n v="2"/>
    <n v="66469.72"/>
    <n v="0.1"/>
    <n v="119645.5"/>
    <n v="14081.55"/>
    <s v="Card"/>
  </r>
  <r>
    <s v="ORD-00054"/>
    <x v="73"/>
    <s v="CUST-0222"/>
    <s v="Customer 0222"/>
    <s v="Corporate"/>
    <x v="3"/>
    <s v="West Bengal"/>
    <s v="Kolkata"/>
    <x v="0"/>
    <s v="Storage"/>
    <x v="4"/>
    <n v="2"/>
    <n v="14384.78"/>
    <n v="0.05"/>
    <n v="27331.08"/>
    <n v="6355.98"/>
    <s v="Cash"/>
  </r>
  <r>
    <s v="ORD-01308"/>
    <x v="73"/>
    <s v="CUST-0117"/>
    <s v="Customer 0117"/>
    <s v="Corporate"/>
    <x v="1"/>
    <s v="Karnataka"/>
    <s v="Bengaluru"/>
    <x v="1"/>
    <s v="Accessories"/>
    <x v="3"/>
    <n v="2"/>
    <n v="1167.21"/>
    <n v="0.05"/>
    <n v="2217.6999999999998"/>
    <n v="281.44"/>
    <s v="Net Banking"/>
  </r>
  <r>
    <s v="ORD-00498"/>
    <x v="73"/>
    <s v="CUST-0182"/>
    <s v="Customer 0182"/>
    <s v="Corporate"/>
    <x v="0"/>
    <s v="Maharashtra"/>
    <s v="Pune"/>
    <x v="1"/>
    <s v="Phones"/>
    <x v="11"/>
    <n v="1"/>
    <n v="17436.48"/>
    <n v="0.2"/>
    <n v="13949.18"/>
    <n v="1366.08"/>
    <s v="Card"/>
  </r>
  <r>
    <s v="ORD-00817"/>
    <x v="74"/>
    <s v="CUST-0077"/>
    <s v="Customer 0077"/>
    <s v="Consumer"/>
    <x v="0"/>
    <s v="Gujarat"/>
    <s v="Ahmedabad"/>
    <x v="2"/>
    <s v="Storage"/>
    <x v="2"/>
    <n v="2"/>
    <n v="715.17"/>
    <n v="0.05"/>
    <n v="1358.82"/>
    <n v="221.21"/>
    <s v="Net Banking"/>
  </r>
  <r>
    <s v="ORD-00930"/>
    <x v="74"/>
    <s v="CUST-0194"/>
    <s v="Customer 0194"/>
    <s v="Corporate"/>
    <x v="2"/>
    <s v="Uttar Pradesh"/>
    <s v="Lucknow"/>
    <x v="1"/>
    <s v="Accessories"/>
    <x v="8"/>
    <n v="3"/>
    <n v="1816.17"/>
    <n v="0.1"/>
    <n v="4903.66"/>
    <n v="445.76"/>
    <s v="Card"/>
  </r>
  <r>
    <s v="ORD-01465"/>
    <x v="74"/>
    <s v="CUST-0159"/>
    <s v="Customer 0159"/>
    <s v="Consumer"/>
    <x v="0"/>
    <s v="Maharashtra"/>
    <s v="Pune"/>
    <x v="1"/>
    <s v="Phones"/>
    <x v="11"/>
    <n v="1"/>
    <n v="18891.169999999998"/>
    <n v="0.1"/>
    <n v="17002.05"/>
    <n v="1380.99"/>
    <s v="UPI"/>
  </r>
  <r>
    <s v="ORD-00142"/>
    <x v="74"/>
    <s v="CUST-0279"/>
    <s v="Customer 0279"/>
    <s v="Consumer"/>
    <x v="1"/>
    <s v="Tamil Nadu"/>
    <s v="Chennai"/>
    <x v="1"/>
    <s v="Laptops"/>
    <x v="5"/>
    <n v="3"/>
    <n v="48213.55"/>
    <n v="0"/>
    <n v="144640.65"/>
    <n v="11687.86"/>
    <s v="Card"/>
  </r>
  <r>
    <s v="ORD-00666"/>
    <x v="74"/>
    <s v="CUST-0048"/>
    <s v="Customer 0048"/>
    <s v="Consumer"/>
    <x v="2"/>
    <s v="Rajasthan"/>
    <s v="Jaipur"/>
    <x v="2"/>
    <s v="Stationery"/>
    <x v="9"/>
    <n v="1"/>
    <n v="354.04"/>
    <n v="0.1"/>
    <n v="318.64"/>
    <n v="43.92"/>
    <s v="UPI"/>
  </r>
  <r>
    <s v="ORD-00123"/>
    <x v="75"/>
    <s v="CUST-0092"/>
    <s v="Customer 0092"/>
    <s v="Corporate"/>
    <x v="2"/>
    <s v="Rajasthan"/>
    <s v="Jaipur"/>
    <x v="1"/>
    <s v="Accessories"/>
    <x v="8"/>
    <n v="2"/>
    <n v="1768.76"/>
    <n v="0"/>
    <n v="3537.52"/>
    <n v="539.4"/>
    <s v="Net Banking"/>
  </r>
  <r>
    <s v="ORD-00582"/>
    <x v="75"/>
    <s v="CUST-0279"/>
    <s v="Customer 0279"/>
    <s v="Consumer"/>
    <x v="2"/>
    <s v="Delhi"/>
    <s v="Delhi"/>
    <x v="1"/>
    <s v="Laptops"/>
    <x v="10"/>
    <n v="5"/>
    <n v="64312.24"/>
    <n v="0.1"/>
    <n v="289405.08"/>
    <n v="51057.96"/>
    <s v="Card"/>
  </r>
  <r>
    <s v="ORD-01104"/>
    <x v="75"/>
    <s v="CUST-0039"/>
    <s v="Customer 0039"/>
    <s v="Consumer"/>
    <x v="3"/>
    <s v="Odisha"/>
    <s v="Bhubaneswar"/>
    <x v="0"/>
    <s v="Chairs"/>
    <x v="7"/>
    <n v="2"/>
    <n v="8384.65"/>
    <n v="0.1"/>
    <n v="15092.37"/>
    <n v="2039.63"/>
    <s v="Cash"/>
  </r>
  <r>
    <s v="ORD-00741"/>
    <x v="75"/>
    <s v="CUST-0292"/>
    <s v="Customer 0292"/>
    <s v="Corporate"/>
    <x v="3"/>
    <s v="Bihar"/>
    <s v="Patna"/>
    <x v="1"/>
    <s v="Phones"/>
    <x v="1"/>
    <n v="1"/>
    <n v="43448.13"/>
    <n v="0.05"/>
    <n v="41275.72"/>
    <n v="8145.79"/>
    <s v="UPI"/>
  </r>
  <r>
    <s v="ORD-01441"/>
    <x v="76"/>
    <s v="CUST-0068"/>
    <s v="Customer 0068"/>
    <s v="Corporate"/>
    <x v="1"/>
    <s v="Tamil Nadu"/>
    <s v="Chennai"/>
    <x v="0"/>
    <s v="Tables"/>
    <x v="12"/>
    <n v="1"/>
    <n v="6640.17"/>
    <n v="0.1"/>
    <n v="5976.15"/>
    <n v="1382.59"/>
    <s v="Card"/>
  </r>
  <r>
    <s v="ORD-00444"/>
    <x v="76"/>
    <s v="CUST-0174"/>
    <s v="Customer 0174"/>
    <s v="Corporate"/>
    <x v="1"/>
    <s v="Telangana"/>
    <s v="Hyderabad"/>
    <x v="1"/>
    <s v="Laptops"/>
    <x v="10"/>
    <n v="2"/>
    <n v="63778.42"/>
    <n v="0"/>
    <n v="127556.84"/>
    <n v="24533.7"/>
    <s v="Cash"/>
  </r>
  <r>
    <s v="ORD-00286"/>
    <x v="76"/>
    <s v="CUST-0271"/>
    <s v="Customer 0271"/>
    <s v="Consumer"/>
    <x v="1"/>
    <s v="Telangana"/>
    <s v="Hyderabad"/>
    <x v="2"/>
    <s v="Paper"/>
    <x v="6"/>
    <n v="2"/>
    <n v="428.22"/>
    <n v="0.15"/>
    <n v="727.97"/>
    <n v="208.76"/>
    <s v="Card"/>
  </r>
  <r>
    <s v="ORD-00581"/>
    <x v="77"/>
    <s v="CUST-0090"/>
    <s v="Customer 0090"/>
    <s v="Consumer"/>
    <x v="2"/>
    <s v="Uttar Pradesh"/>
    <s v="Lucknow"/>
    <x v="1"/>
    <s v="Phones"/>
    <x v="11"/>
    <n v="1"/>
    <n v="17310.57"/>
    <n v="0.05"/>
    <n v="16445.04"/>
    <n v="2101.56"/>
    <s v="UPI"/>
  </r>
  <r>
    <s v="ORD-01103"/>
    <x v="77"/>
    <s v="CUST-0034"/>
    <s v="Customer 0034"/>
    <s v="Small Business"/>
    <x v="1"/>
    <s v="Telangana"/>
    <s v="Hyderabad"/>
    <x v="1"/>
    <s v="Accessories"/>
    <x v="3"/>
    <n v="2"/>
    <n v="1224.6400000000001"/>
    <n v="0.1"/>
    <n v="2204.35"/>
    <n v="241.36"/>
    <s v="UPI"/>
  </r>
  <r>
    <s v="ORD-01094"/>
    <x v="77"/>
    <s v="CUST-0165"/>
    <s v="Customer 0165"/>
    <s v="Consumer"/>
    <x v="1"/>
    <s v="Karnataka"/>
    <s v="Bengaluru"/>
    <x v="1"/>
    <s v="Accessories"/>
    <x v="3"/>
    <n v="1"/>
    <n v="1211.72"/>
    <n v="0.05"/>
    <n v="1151.1300000000001"/>
    <n v="213.22"/>
    <s v="Cash"/>
  </r>
  <r>
    <s v="ORD-00867"/>
    <x v="77"/>
    <s v="CUST-0272"/>
    <s v="Customer 0272"/>
    <s v="Consumer"/>
    <x v="1"/>
    <s v="Telangana"/>
    <s v="Hyderabad"/>
    <x v="2"/>
    <s v="Stationery"/>
    <x v="9"/>
    <n v="5"/>
    <n v="345.59"/>
    <n v="0.15"/>
    <n v="1468.76"/>
    <n v="361"/>
    <s v="Net Banking"/>
  </r>
  <r>
    <s v="ORD-00291"/>
    <x v="77"/>
    <s v="CUST-0214"/>
    <s v="Customer 0214"/>
    <s v="Consumer"/>
    <x v="2"/>
    <s v="Delhi"/>
    <s v="Delhi"/>
    <x v="1"/>
    <s v="Phones"/>
    <x v="1"/>
    <n v="1"/>
    <n v="43866.68"/>
    <n v="0.05"/>
    <n v="41673.35"/>
    <n v="6519.77"/>
    <s v="Cash"/>
  </r>
  <r>
    <s v="ORD-00653"/>
    <x v="78"/>
    <s v="CUST-0110"/>
    <s v="Customer 0110"/>
    <s v="Small Business"/>
    <x v="3"/>
    <s v="West Bengal"/>
    <s v="Kolkata"/>
    <x v="1"/>
    <s v="Laptops"/>
    <x v="5"/>
    <n v="2"/>
    <n v="47056.82"/>
    <n v="0.15"/>
    <n v="79996.59"/>
    <n v="8711.85"/>
    <s v="Cash"/>
  </r>
  <r>
    <s v="ORD-00427"/>
    <x v="78"/>
    <s v="CUST-0028"/>
    <s v="Customer 0028"/>
    <s v="Small Business"/>
    <x v="3"/>
    <s v="Bihar"/>
    <s v="Patna"/>
    <x v="1"/>
    <s v="Laptops"/>
    <x v="10"/>
    <n v="4"/>
    <n v="66248.33"/>
    <n v="0"/>
    <n v="264993.32"/>
    <n v="26392.87"/>
    <s v="Card"/>
  </r>
  <r>
    <s v="ORD-00704"/>
    <x v="78"/>
    <s v="CUST-0046"/>
    <s v="Customer 0046"/>
    <s v="Consumer"/>
    <x v="3"/>
    <s v="Odisha"/>
    <s v="Bhubaneswar"/>
    <x v="1"/>
    <s v="Accessories"/>
    <x v="3"/>
    <n v="3"/>
    <n v="1140.6500000000001"/>
    <n v="0.05"/>
    <n v="3250.85"/>
    <n v="508.54"/>
    <s v="Card"/>
  </r>
  <r>
    <s v="ORD-01105"/>
    <x v="78"/>
    <s v="CUST-0192"/>
    <s v="Customer 0192"/>
    <s v="Corporate"/>
    <x v="2"/>
    <s v="Uttar Pradesh"/>
    <s v="Lucknow"/>
    <x v="2"/>
    <s v="Stationery"/>
    <x v="9"/>
    <n v="1"/>
    <n v="333.62"/>
    <n v="0.1"/>
    <n v="300.26"/>
    <n v="44.9"/>
    <s v="Card"/>
  </r>
  <r>
    <s v="ORD-00763"/>
    <x v="79"/>
    <s v="CUST-0235"/>
    <s v="Customer 0235"/>
    <s v="Corporate"/>
    <x v="0"/>
    <s v="Maharashtra"/>
    <s v="Pune"/>
    <x v="0"/>
    <s v="Chairs"/>
    <x v="7"/>
    <n v="1"/>
    <n v="8901.16"/>
    <n v="0.05"/>
    <n v="8456.1"/>
    <n v="989.86"/>
    <s v="Net Banking"/>
  </r>
  <r>
    <s v="ORD-00007"/>
    <x v="79"/>
    <s v="CUST-0157"/>
    <s v="Customer 0157"/>
    <s v="Small Business"/>
    <x v="0"/>
    <s v="Maharashtra"/>
    <s v="Mumbai"/>
    <x v="0"/>
    <s v="Tables"/>
    <x v="12"/>
    <n v="1"/>
    <n v="6676.96"/>
    <n v="0.2"/>
    <n v="5341.57"/>
    <n v="702.51"/>
    <s v="Net Banking"/>
  </r>
  <r>
    <s v="ORD-00647"/>
    <x v="80"/>
    <s v="CUST-0192"/>
    <s v="Customer 0192"/>
    <s v="Consumer"/>
    <x v="3"/>
    <s v="West Bengal"/>
    <s v="Kolkata"/>
    <x v="2"/>
    <s v="Storage"/>
    <x v="2"/>
    <n v="1"/>
    <n v="784.62"/>
    <n v="0"/>
    <n v="784.62"/>
    <n v="244.37"/>
    <s v="Cash"/>
  </r>
  <r>
    <s v="ORD-01096"/>
    <x v="80"/>
    <s v="CUST-0298"/>
    <s v="Customer 0298"/>
    <s v="Consumer"/>
    <x v="3"/>
    <s v="Odisha"/>
    <s v="Bhubaneswar"/>
    <x v="1"/>
    <s v="Accessories"/>
    <x v="8"/>
    <n v="1"/>
    <n v="1744.34"/>
    <n v="0.05"/>
    <n v="1657.12"/>
    <n v="314.47000000000003"/>
    <s v="Net Banking"/>
  </r>
  <r>
    <s v="ORD-00493"/>
    <x v="80"/>
    <s v="CUST-0285"/>
    <s v="Customer 0285"/>
    <s v="Consumer"/>
    <x v="2"/>
    <s v="Rajasthan"/>
    <s v="Jaipur"/>
    <x v="2"/>
    <s v="Storage"/>
    <x v="2"/>
    <n v="2"/>
    <n v="768.88"/>
    <n v="0"/>
    <n v="1537.76"/>
    <n v="509.38"/>
    <s v="UPI"/>
  </r>
  <r>
    <s v="ORD-01211"/>
    <x v="81"/>
    <s v="CUST-0189"/>
    <s v="Customer 0189"/>
    <s v="Small Business"/>
    <x v="1"/>
    <s v="Karnataka"/>
    <s v="Bengaluru"/>
    <x v="1"/>
    <s v="Phones"/>
    <x v="1"/>
    <n v="1"/>
    <n v="42341.19"/>
    <n v="0.1"/>
    <n v="38107.07"/>
    <n v="6576.02"/>
    <s v="Card"/>
  </r>
  <r>
    <s v="ORD-00563"/>
    <x v="81"/>
    <s v="CUST-0261"/>
    <s v="Customer 0261"/>
    <s v="Consumer"/>
    <x v="3"/>
    <s v="West Bengal"/>
    <s v="Kolkata"/>
    <x v="1"/>
    <s v="Phones"/>
    <x v="1"/>
    <n v="1"/>
    <n v="43871.08"/>
    <n v="0.1"/>
    <n v="39483.97"/>
    <n v="5828.41"/>
    <s v="Net Banking"/>
  </r>
  <r>
    <s v="ORD-00932"/>
    <x v="81"/>
    <s v="CUST-0206"/>
    <s v="Customer 0206"/>
    <s v="Consumer"/>
    <x v="1"/>
    <s v="Karnataka"/>
    <s v="Bengaluru"/>
    <x v="0"/>
    <s v="Tables"/>
    <x v="0"/>
    <n v="2"/>
    <n v="11871.24"/>
    <n v="0.1"/>
    <n v="21368.23"/>
    <n v="4050.57"/>
    <s v="UPI"/>
  </r>
  <r>
    <s v="ORD-00688"/>
    <x v="81"/>
    <s v="CUST-0290"/>
    <s v="Customer 0290"/>
    <s v="Small Business"/>
    <x v="1"/>
    <s v="Telangana"/>
    <s v="Hyderabad"/>
    <x v="1"/>
    <s v="Phones"/>
    <x v="11"/>
    <n v="3"/>
    <n v="17494.310000000001"/>
    <n v="0.15"/>
    <n v="44610.49"/>
    <n v="4633.1400000000003"/>
    <s v="UPI"/>
  </r>
  <r>
    <s v="ORD-00986"/>
    <x v="81"/>
    <s v="CUST-0108"/>
    <s v="Customer 0108"/>
    <s v="Consumer"/>
    <x v="0"/>
    <s v="Maharashtra"/>
    <s v="Pune"/>
    <x v="2"/>
    <s v="Storage"/>
    <x v="2"/>
    <n v="2"/>
    <n v="761.08"/>
    <n v="0.1"/>
    <n v="1369.94"/>
    <n v="282.39"/>
    <s v="UPI"/>
  </r>
  <r>
    <s v="ORD-00889"/>
    <x v="82"/>
    <s v="CUST-0147"/>
    <s v="Customer 0147"/>
    <s v="Consumer"/>
    <x v="0"/>
    <s v="Maharashtra"/>
    <s v="Pune"/>
    <x v="2"/>
    <s v="Stationery"/>
    <x v="13"/>
    <n v="2"/>
    <n v="585.37"/>
    <n v="0.05"/>
    <n v="1112.2"/>
    <n v="186.67"/>
    <s v="Net Banking"/>
  </r>
  <r>
    <s v="ORD-00192"/>
    <x v="82"/>
    <s v="CUST-0129"/>
    <s v="Customer 0129"/>
    <s v="Corporate"/>
    <x v="0"/>
    <s v="Maharashtra"/>
    <s v="Pune"/>
    <x v="1"/>
    <s v="Phones"/>
    <x v="1"/>
    <n v="1"/>
    <n v="40845.94"/>
    <n v="0"/>
    <n v="40845.94"/>
    <n v="4018.79"/>
    <s v="Net Banking"/>
  </r>
  <r>
    <s v="ORD-00996"/>
    <x v="82"/>
    <s v="CUST-0141"/>
    <s v="Customer 0141"/>
    <s v="Consumer"/>
    <x v="1"/>
    <s v="Karnataka"/>
    <s v="Bengaluru"/>
    <x v="1"/>
    <s v="Laptops"/>
    <x v="5"/>
    <n v="3"/>
    <n v="49374.559999999998"/>
    <n v="0"/>
    <n v="148123.68"/>
    <n v="17035.400000000001"/>
    <s v="Cash"/>
  </r>
  <r>
    <s v="ORD-00955"/>
    <x v="82"/>
    <s v="CUST-0076"/>
    <s v="Customer 0076"/>
    <s v="Corporate"/>
    <x v="0"/>
    <s v="Maharashtra"/>
    <s v="Mumbai"/>
    <x v="0"/>
    <s v="Storage"/>
    <x v="4"/>
    <n v="4"/>
    <n v="15000.18"/>
    <n v="0.05"/>
    <n v="57000.68"/>
    <n v="6437.21"/>
    <s v="Net Banking"/>
  </r>
  <r>
    <s v="ORD-00782"/>
    <x v="83"/>
    <s v="CUST-0278"/>
    <s v="Customer 0278"/>
    <s v="Consumer"/>
    <x v="3"/>
    <s v="West Bengal"/>
    <s v="Kolkata"/>
    <x v="0"/>
    <s v="Storage"/>
    <x v="4"/>
    <n v="3"/>
    <n v="14973.87"/>
    <n v="0.05"/>
    <n v="42675.53"/>
    <n v="8546.58"/>
    <s v="Cash"/>
  </r>
  <r>
    <s v="ORD-00854"/>
    <x v="83"/>
    <s v="CUST-0233"/>
    <s v="Customer 0233"/>
    <s v="Consumer"/>
    <x v="2"/>
    <s v="Uttar Pradesh"/>
    <s v="Lucknow"/>
    <x v="2"/>
    <s v="Stationery"/>
    <x v="9"/>
    <n v="1"/>
    <n v="359.94"/>
    <n v="0.15"/>
    <n v="305.95"/>
    <n v="83.43"/>
    <s v="Cash"/>
  </r>
  <r>
    <s v="ORD-00428"/>
    <x v="83"/>
    <s v="CUST-0150"/>
    <s v="Customer 0150"/>
    <s v="Consumer"/>
    <x v="1"/>
    <s v="Telangana"/>
    <s v="Hyderabad"/>
    <x v="2"/>
    <s v="Stationery"/>
    <x v="9"/>
    <n v="3"/>
    <n v="337.16"/>
    <n v="0.05"/>
    <n v="960.91"/>
    <n v="158.44"/>
    <s v="Card"/>
  </r>
  <r>
    <s v="ORD-00087"/>
    <x v="83"/>
    <s v="CUST-0165"/>
    <s v="Customer 0165"/>
    <s v="Consumer"/>
    <x v="0"/>
    <s v="Maharashtra"/>
    <s v="Pune"/>
    <x v="2"/>
    <s v="Stationery"/>
    <x v="13"/>
    <n v="2"/>
    <n v="575.22"/>
    <n v="0.05"/>
    <n v="1092.92"/>
    <n v="286.83999999999997"/>
    <s v="Cash"/>
  </r>
  <r>
    <s v="ORD-00508"/>
    <x v="83"/>
    <s v="CUST-0010"/>
    <s v="Customer 0010"/>
    <s v="Corporate"/>
    <x v="2"/>
    <s v="Delhi"/>
    <s v="Delhi"/>
    <x v="2"/>
    <s v="Paper"/>
    <x v="6"/>
    <n v="5"/>
    <n v="431.85"/>
    <n v="0"/>
    <n v="2159.25"/>
    <n v="635.02"/>
    <s v="Card"/>
  </r>
  <r>
    <s v="ORD-00197"/>
    <x v="84"/>
    <s v="CUST-0086"/>
    <s v="Customer 0086"/>
    <s v="Corporate"/>
    <x v="0"/>
    <s v="Gujarat"/>
    <s v="Ahmedabad"/>
    <x v="2"/>
    <s v="Paper"/>
    <x v="6"/>
    <n v="2"/>
    <n v="466.21"/>
    <n v="0"/>
    <n v="932.42"/>
    <n v="274.66000000000003"/>
    <s v="UPI"/>
  </r>
  <r>
    <s v="ORD-00920"/>
    <x v="84"/>
    <s v="CUST-0164"/>
    <s v="Customer 0164"/>
    <s v="Consumer"/>
    <x v="2"/>
    <s v="Uttar Pradesh"/>
    <s v="Lucknow"/>
    <x v="2"/>
    <s v="Storage"/>
    <x v="2"/>
    <n v="1"/>
    <n v="737.56"/>
    <n v="0.05"/>
    <n v="700.68"/>
    <n v="115.37"/>
    <s v="Card"/>
  </r>
  <r>
    <s v="ORD-01216"/>
    <x v="84"/>
    <s v="CUST-0145"/>
    <s v="Customer 0145"/>
    <s v="Corporate"/>
    <x v="1"/>
    <s v="Tamil Nadu"/>
    <s v="Chennai"/>
    <x v="0"/>
    <s v="Tables"/>
    <x v="12"/>
    <n v="4"/>
    <n v="6273.8"/>
    <n v="0.15"/>
    <n v="21330.92"/>
    <n v="2753.83"/>
    <s v="UPI"/>
  </r>
  <r>
    <s v="ORD-01427"/>
    <x v="84"/>
    <s v="CUST-0134"/>
    <s v="Customer 0134"/>
    <s v="Corporate"/>
    <x v="0"/>
    <s v="Maharashtra"/>
    <s v="Mumbai"/>
    <x v="1"/>
    <s v="Accessories"/>
    <x v="3"/>
    <n v="3"/>
    <n v="1167.58"/>
    <n v="0.1"/>
    <n v="3152.47"/>
    <n v="188.67"/>
    <s v="Net Banking"/>
  </r>
  <r>
    <s v="ORD-00905"/>
    <x v="85"/>
    <s v="CUST-0007"/>
    <s v="Customer 0007"/>
    <s v="Small Business"/>
    <x v="0"/>
    <s v="Gujarat"/>
    <s v="Ahmedabad"/>
    <x v="1"/>
    <s v="Phones"/>
    <x v="11"/>
    <n v="1"/>
    <n v="18088.46"/>
    <n v="0.05"/>
    <n v="17184.04"/>
    <n v="3357.64"/>
    <s v="UPI"/>
  </r>
  <r>
    <s v="ORD-01073"/>
    <x v="85"/>
    <s v="CUST-0190"/>
    <s v="Customer 0190"/>
    <s v="Small Business"/>
    <x v="3"/>
    <s v="Bihar"/>
    <s v="Patna"/>
    <x v="1"/>
    <s v="Phones"/>
    <x v="1"/>
    <n v="2"/>
    <n v="40975.14"/>
    <n v="0.05"/>
    <n v="77852.77"/>
    <n v="12684.86"/>
    <s v="Card"/>
  </r>
  <r>
    <s v="ORD-00180"/>
    <x v="86"/>
    <s v="CUST-0022"/>
    <s v="Customer 0022"/>
    <s v="Consumer"/>
    <x v="0"/>
    <s v="Gujarat"/>
    <s v="Ahmedabad"/>
    <x v="0"/>
    <s v="Tables"/>
    <x v="12"/>
    <n v="3"/>
    <n v="6620.44"/>
    <n v="0"/>
    <n v="19861.32"/>
    <n v="2675.31"/>
    <s v="Net Banking"/>
  </r>
  <r>
    <s v="ORD-00086"/>
    <x v="86"/>
    <s v="CUST-0054"/>
    <s v="Customer 0054"/>
    <s v="Consumer"/>
    <x v="2"/>
    <s v="Uttar Pradesh"/>
    <s v="Lucknow"/>
    <x v="2"/>
    <s v="Storage"/>
    <x v="2"/>
    <n v="2"/>
    <n v="754.25"/>
    <n v="0.15"/>
    <n v="1282.22"/>
    <n v="319.23"/>
    <s v="Card"/>
  </r>
  <r>
    <s v="ORD-00201"/>
    <x v="87"/>
    <s v="CUST-0248"/>
    <s v="Customer 0248"/>
    <s v="Consumer"/>
    <x v="0"/>
    <s v="Maharashtra"/>
    <s v="Mumbai"/>
    <x v="1"/>
    <s v="Laptops"/>
    <x v="5"/>
    <n v="4"/>
    <n v="47989.5"/>
    <n v="0.1"/>
    <n v="172762.2"/>
    <n v="11807.75"/>
    <s v="Cash"/>
  </r>
  <r>
    <s v="ORD-01220"/>
    <x v="87"/>
    <s v="CUST-0160"/>
    <s v="Customer 0160"/>
    <s v="Consumer"/>
    <x v="2"/>
    <s v="Delhi"/>
    <s v="Delhi"/>
    <x v="1"/>
    <s v="Accessories"/>
    <x v="3"/>
    <n v="1"/>
    <n v="1253.03"/>
    <n v="0"/>
    <n v="1253.03"/>
    <n v="249.33"/>
    <s v="UPI"/>
  </r>
  <r>
    <s v="ORD-00801"/>
    <x v="87"/>
    <s v="CUST-0170"/>
    <s v="Customer 0170"/>
    <s v="Small Business"/>
    <x v="1"/>
    <s v="Telangana"/>
    <s v="Hyderabad"/>
    <x v="0"/>
    <s v="Chairs"/>
    <x v="7"/>
    <n v="2"/>
    <n v="8878.92"/>
    <n v="0.15"/>
    <n v="15094.16"/>
    <n v="3614.66"/>
    <s v="Cash"/>
  </r>
  <r>
    <s v="ORD-00946"/>
    <x v="88"/>
    <s v="CUST-0142"/>
    <s v="Customer 0142"/>
    <s v="Consumer"/>
    <x v="3"/>
    <s v="Bihar"/>
    <s v="Patna"/>
    <x v="0"/>
    <s v="Tables"/>
    <x v="12"/>
    <n v="1"/>
    <n v="6745.57"/>
    <n v="0.05"/>
    <n v="6408.29"/>
    <n v="1519.44"/>
    <s v="Net Banking"/>
  </r>
  <r>
    <s v="ORD-00551"/>
    <x v="88"/>
    <s v="CUST-0169"/>
    <s v="Customer 0169"/>
    <s v="Consumer"/>
    <x v="2"/>
    <s v="Delhi"/>
    <s v="Delhi"/>
    <x v="1"/>
    <s v="Laptops"/>
    <x v="5"/>
    <n v="1"/>
    <n v="45862.53"/>
    <n v="0"/>
    <n v="45862.53"/>
    <n v="3782.46"/>
    <s v="UPI"/>
  </r>
  <r>
    <s v="ORD-00268"/>
    <x v="88"/>
    <s v="CUST-0050"/>
    <s v="Customer 0050"/>
    <s v="Small Business"/>
    <x v="2"/>
    <s v="Uttar Pradesh"/>
    <s v="Lucknow"/>
    <x v="2"/>
    <s v="Storage"/>
    <x v="2"/>
    <n v="1"/>
    <n v="727.27"/>
    <n v="0.2"/>
    <n v="581.82000000000005"/>
    <n v="157.41"/>
    <s v="Card"/>
  </r>
  <r>
    <s v="ORD-00686"/>
    <x v="88"/>
    <s v="CUST-0218"/>
    <s v="Customer 0218"/>
    <s v="Consumer"/>
    <x v="0"/>
    <s v="Gujarat"/>
    <s v="Ahmedabad"/>
    <x v="2"/>
    <s v="Paper"/>
    <x v="6"/>
    <n v="1"/>
    <n v="442.1"/>
    <n v="0.05"/>
    <n v="420"/>
    <n v="138.81"/>
    <s v="Net Banking"/>
  </r>
  <r>
    <s v="ORD-01116"/>
    <x v="88"/>
    <s v="CUST-0131"/>
    <s v="Customer 0131"/>
    <s v="Small Business"/>
    <x v="2"/>
    <s v="Uttar Pradesh"/>
    <s v="Lucknow"/>
    <x v="2"/>
    <s v="Stationery"/>
    <x v="9"/>
    <n v="1"/>
    <n v="352.52"/>
    <n v="0.2"/>
    <n v="282.02"/>
    <n v="46.91"/>
    <s v="Cash"/>
  </r>
  <r>
    <s v="ORD-01081"/>
    <x v="88"/>
    <s v="CUST-0113"/>
    <s v="Customer 0113"/>
    <s v="Consumer"/>
    <x v="0"/>
    <s v="Maharashtra"/>
    <s v="Mumbai"/>
    <x v="0"/>
    <s v="Chairs"/>
    <x v="7"/>
    <n v="3"/>
    <n v="8450.09"/>
    <n v="0.05"/>
    <n v="24082.76"/>
    <n v="2901.55"/>
    <s v="Cash"/>
  </r>
  <r>
    <s v="ORD-00301"/>
    <x v="89"/>
    <s v="CUST-0038"/>
    <s v="Customer 0038"/>
    <s v="Consumer"/>
    <x v="1"/>
    <s v="Telangana"/>
    <s v="Hyderabad"/>
    <x v="2"/>
    <s v="Paper"/>
    <x v="6"/>
    <n v="2"/>
    <n v="462.9"/>
    <n v="0.05"/>
    <n v="879.51"/>
    <n v="191.79"/>
    <s v="Card"/>
  </r>
  <r>
    <s v="ORD-00633"/>
    <x v="89"/>
    <s v="CUST-0008"/>
    <s v="Customer 0008"/>
    <s v="Corporate"/>
    <x v="0"/>
    <s v="Maharashtra"/>
    <s v="Mumbai"/>
    <x v="2"/>
    <s v="Stationery"/>
    <x v="9"/>
    <n v="4"/>
    <n v="358.38"/>
    <n v="0.2"/>
    <n v="1146.82"/>
    <n v="130.58000000000001"/>
    <s v="UPI"/>
  </r>
  <r>
    <s v="ORD-01295"/>
    <x v="89"/>
    <s v="CUST-0138"/>
    <s v="Customer 0138"/>
    <s v="Consumer"/>
    <x v="2"/>
    <s v="Rajasthan"/>
    <s v="Jaipur"/>
    <x v="0"/>
    <s v="Tables"/>
    <x v="12"/>
    <n v="4"/>
    <n v="6513.4"/>
    <n v="0.05"/>
    <n v="24750.92"/>
    <n v="4099.1000000000004"/>
    <s v="Net Banking"/>
  </r>
  <r>
    <s v="ORD-00639"/>
    <x v="90"/>
    <s v="CUST-0230"/>
    <s v="Customer 0230"/>
    <s v="Consumer"/>
    <x v="1"/>
    <s v="Tamil Nadu"/>
    <s v="Chennai"/>
    <x v="2"/>
    <s v="Stationery"/>
    <x v="9"/>
    <n v="2"/>
    <n v="335.67"/>
    <n v="0.1"/>
    <n v="604.21"/>
    <n v="140.74"/>
    <s v="Card"/>
  </r>
  <r>
    <s v="ORD-00303"/>
    <x v="90"/>
    <s v="CUST-0058"/>
    <s v="Customer 0058"/>
    <s v="Consumer"/>
    <x v="3"/>
    <s v="West Bengal"/>
    <s v="Kolkata"/>
    <x v="1"/>
    <s v="Laptops"/>
    <x v="5"/>
    <n v="3"/>
    <n v="47724.22"/>
    <n v="0.05"/>
    <n v="136014.03"/>
    <n v="20973.58"/>
    <s v="Card"/>
  </r>
  <r>
    <s v="ORD-01239"/>
    <x v="90"/>
    <s v="CUST-0179"/>
    <s v="Customer 0179"/>
    <s v="Consumer"/>
    <x v="0"/>
    <s v="Maharashtra"/>
    <s v="Mumbai"/>
    <x v="1"/>
    <s v="Phones"/>
    <x v="11"/>
    <n v="1"/>
    <n v="18691.330000000002"/>
    <n v="0.2"/>
    <n v="14953.06"/>
    <n v="18.95"/>
    <s v="UPI"/>
  </r>
  <r>
    <s v="ORD-00320"/>
    <x v="90"/>
    <s v="CUST-0295"/>
    <s v="Customer 0295"/>
    <s v="Corporate"/>
    <x v="0"/>
    <s v="Maharashtra"/>
    <s v="Mumbai"/>
    <x v="2"/>
    <s v="Storage"/>
    <x v="2"/>
    <n v="3"/>
    <n v="728.04"/>
    <n v="0"/>
    <n v="2184.12"/>
    <n v="639.17999999999995"/>
    <s v="UPI"/>
  </r>
  <r>
    <s v="ORD-01060"/>
    <x v="90"/>
    <s v="CUST-0263"/>
    <s v="Customer 0263"/>
    <s v="Consumer"/>
    <x v="3"/>
    <s v="West Bengal"/>
    <s v="Kolkata"/>
    <x v="0"/>
    <s v="Tables"/>
    <x v="12"/>
    <n v="4"/>
    <n v="6342.17"/>
    <n v="0.1"/>
    <n v="22831.81"/>
    <n v="4267.8999999999996"/>
    <s v="UPI"/>
  </r>
  <r>
    <s v="ORD-01494"/>
    <x v="91"/>
    <s v="CUST-0237"/>
    <s v="Customer 0237"/>
    <s v="Small Business"/>
    <x v="1"/>
    <s v="Karnataka"/>
    <s v="Bengaluru"/>
    <x v="1"/>
    <s v="Accessories"/>
    <x v="3"/>
    <n v="5"/>
    <n v="1183.72"/>
    <n v="0.1"/>
    <n v="5326.74"/>
    <n v="984.56"/>
    <s v="Net Banking"/>
  </r>
  <r>
    <s v="ORD-01456"/>
    <x v="91"/>
    <s v="CUST-0139"/>
    <s v="Customer 0139"/>
    <s v="Corporate"/>
    <x v="1"/>
    <s v="Karnataka"/>
    <s v="Bengaluru"/>
    <x v="1"/>
    <s v="Accessories"/>
    <x v="8"/>
    <n v="3"/>
    <n v="1711.53"/>
    <n v="0.15"/>
    <n v="4364.3999999999996"/>
    <n v="280.7"/>
    <s v="UPI"/>
  </r>
  <r>
    <s v="ORD-00312"/>
    <x v="91"/>
    <s v="CUST-0019"/>
    <s v="Customer 0019"/>
    <s v="Corporate"/>
    <x v="0"/>
    <s v="Gujarat"/>
    <s v="Ahmedabad"/>
    <x v="1"/>
    <s v="Laptops"/>
    <x v="10"/>
    <n v="2"/>
    <n v="63073.84"/>
    <n v="0.15"/>
    <n v="107225.53"/>
    <n v="9688.5300000000007"/>
    <s v="Net Banking"/>
  </r>
  <r>
    <s v="ORD-00220"/>
    <x v="91"/>
    <s v="CUST-0210"/>
    <s v="Customer 0210"/>
    <s v="Consumer"/>
    <x v="1"/>
    <s v="Tamil Nadu"/>
    <s v="Chennai"/>
    <x v="0"/>
    <s v="Tables"/>
    <x v="12"/>
    <n v="2"/>
    <n v="6266.02"/>
    <n v="0"/>
    <n v="12532.04"/>
    <n v="2058.89"/>
    <s v="UPI"/>
  </r>
  <r>
    <s v="ORD-01123"/>
    <x v="91"/>
    <s v="CUST-0074"/>
    <s v="Customer 0074"/>
    <s v="Consumer"/>
    <x v="2"/>
    <s v="Uttar Pradesh"/>
    <s v="Lucknow"/>
    <x v="0"/>
    <s v="Chairs"/>
    <x v="7"/>
    <n v="1"/>
    <n v="8380.31"/>
    <n v="0.15"/>
    <n v="7123.26"/>
    <n v="1389.7"/>
    <s v="Net Banking"/>
  </r>
  <r>
    <s v="ORD-00066"/>
    <x v="92"/>
    <s v="CUST-0229"/>
    <s v="Customer 0229"/>
    <s v="Small Business"/>
    <x v="2"/>
    <s v="Uttar Pradesh"/>
    <s v="Lucknow"/>
    <x v="0"/>
    <s v="Tables"/>
    <x v="0"/>
    <n v="1"/>
    <n v="12563.36"/>
    <n v="0.05"/>
    <n v="11935.19"/>
    <n v="2903.45"/>
    <s v="Net Banking"/>
  </r>
  <r>
    <s v="ORD-00270"/>
    <x v="92"/>
    <s v="CUST-0299"/>
    <s v="Customer 0299"/>
    <s v="Consumer"/>
    <x v="1"/>
    <s v="Karnataka"/>
    <s v="Bengaluru"/>
    <x v="2"/>
    <s v="Stationery"/>
    <x v="13"/>
    <n v="5"/>
    <n v="579.70000000000005"/>
    <n v="0.15"/>
    <n v="2463.7199999999998"/>
    <n v="501.23"/>
    <s v="UPI"/>
  </r>
  <r>
    <s v="ORD-00881"/>
    <x v="93"/>
    <s v="CUST-0027"/>
    <s v="Customer 0027"/>
    <s v="Corporate"/>
    <x v="0"/>
    <s v="Maharashtra"/>
    <s v="Pune"/>
    <x v="2"/>
    <s v="Storage"/>
    <x v="2"/>
    <n v="2"/>
    <n v="784.62"/>
    <n v="0"/>
    <n v="1569.24"/>
    <n v="395.91"/>
    <s v="Card"/>
  </r>
  <r>
    <s v="ORD-01120"/>
    <x v="93"/>
    <s v="CUST-0118"/>
    <s v="Customer 0118"/>
    <s v="Consumer"/>
    <x v="1"/>
    <s v="Tamil Nadu"/>
    <s v="Chennai"/>
    <x v="0"/>
    <s v="Tables"/>
    <x v="0"/>
    <n v="4"/>
    <n v="12062.14"/>
    <n v="0"/>
    <n v="48248.56"/>
    <n v="7905.46"/>
    <s v="Card"/>
  </r>
  <r>
    <s v="ORD-00786"/>
    <x v="93"/>
    <s v="CUST-0099"/>
    <s v="Customer 0099"/>
    <s v="Corporate"/>
    <x v="2"/>
    <s v="Uttar Pradesh"/>
    <s v="Lucknow"/>
    <x v="1"/>
    <s v="Phones"/>
    <x v="11"/>
    <n v="2"/>
    <n v="18509.919999999998"/>
    <n v="0.05"/>
    <n v="35168.85"/>
    <n v="7322.39"/>
    <s v="UPI"/>
  </r>
  <r>
    <s v="ORD-00035"/>
    <x v="93"/>
    <s v="CUST-0033"/>
    <s v="Customer 0033"/>
    <s v="Consumer"/>
    <x v="3"/>
    <s v="Odisha"/>
    <s v="Bhubaneswar"/>
    <x v="1"/>
    <s v="Phones"/>
    <x v="1"/>
    <n v="2"/>
    <n v="41521.629999999997"/>
    <n v="0.2"/>
    <n v="66434.61"/>
    <n v="8313.4599999999991"/>
    <s v="Card"/>
  </r>
  <r>
    <s v="ORD-01183"/>
    <x v="93"/>
    <s v="CUST-0065"/>
    <s v="Customer 0065"/>
    <s v="Consumer"/>
    <x v="2"/>
    <s v="Delhi"/>
    <s v="Delhi"/>
    <x v="2"/>
    <s v="Stationery"/>
    <x v="9"/>
    <n v="2"/>
    <n v="336.67"/>
    <n v="0.1"/>
    <n v="606.01"/>
    <n v="195.66"/>
    <s v="Net Banking"/>
  </r>
  <r>
    <s v="ORD-01219"/>
    <x v="94"/>
    <s v="CUST-0223"/>
    <s v="Customer 0223"/>
    <s v="Small Business"/>
    <x v="0"/>
    <s v="Maharashtra"/>
    <s v="Pune"/>
    <x v="2"/>
    <s v="Paper"/>
    <x v="6"/>
    <n v="1"/>
    <n v="453.05"/>
    <n v="0.1"/>
    <n v="407.75"/>
    <n v="133.97999999999999"/>
    <s v="UPI"/>
  </r>
  <r>
    <s v="ORD-01420"/>
    <x v="94"/>
    <s v="CUST-0245"/>
    <s v="Customer 0245"/>
    <s v="Consumer"/>
    <x v="2"/>
    <s v="Uttar Pradesh"/>
    <s v="Lucknow"/>
    <x v="0"/>
    <s v="Storage"/>
    <x v="4"/>
    <n v="5"/>
    <n v="13994"/>
    <n v="0.1"/>
    <n v="62973"/>
    <n v="8805.2000000000007"/>
    <s v="Cash"/>
  </r>
  <r>
    <s v="ORD-01053"/>
    <x v="95"/>
    <s v="CUST-0158"/>
    <s v="Customer 0158"/>
    <s v="Corporate"/>
    <x v="0"/>
    <s v="Maharashtra"/>
    <s v="Pune"/>
    <x v="1"/>
    <s v="Laptops"/>
    <x v="5"/>
    <n v="1"/>
    <n v="47589.35"/>
    <n v="0.05"/>
    <n v="45209.88"/>
    <n v="3544.45"/>
    <s v="Card"/>
  </r>
  <r>
    <s v="ORD-00880"/>
    <x v="95"/>
    <s v="CUST-0248"/>
    <s v="Customer 0248"/>
    <s v="Small Business"/>
    <x v="0"/>
    <s v="Gujarat"/>
    <s v="Ahmedabad"/>
    <x v="2"/>
    <s v="Paper"/>
    <x v="6"/>
    <n v="1"/>
    <n v="458.53"/>
    <n v="0.1"/>
    <n v="412.68"/>
    <n v="111.23"/>
    <s v="Cash"/>
  </r>
  <r>
    <s v="ORD-01129"/>
    <x v="95"/>
    <s v="CUST-0097"/>
    <s v="Customer 0097"/>
    <s v="Corporate"/>
    <x v="3"/>
    <s v="Odisha"/>
    <s v="Bhubaneswar"/>
    <x v="0"/>
    <s v="Tables"/>
    <x v="0"/>
    <n v="4"/>
    <n v="12227.48"/>
    <n v="0"/>
    <n v="48909.919999999998"/>
    <n v="9068.6299999999992"/>
    <s v="UPI"/>
  </r>
  <r>
    <s v="ORD-01350"/>
    <x v="95"/>
    <s v="CUST-0010"/>
    <s v="Customer 0010"/>
    <s v="Consumer"/>
    <x v="2"/>
    <s v="Rajasthan"/>
    <s v="Jaipur"/>
    <x v="2"/>
    <s v="Paper"/>
    <x v="6"/>
    <n v="4"/>
    <n v="439.61"/>
    <n v="0.1"/>
    <n v="1582.6"/>
    <n v="403.01"/>
    <s v="Card"/>
  </r>
  <r>
    <s v="ORD-00094"/>
    <x v="96"/>
    <s v="CUST-0029"/>
    <s v="Customer 0029"/>
    <s v="Consumer"/>
    <x v="2"/>
    <s v="Uttar Pradesh"/>
    <s v="Lucknow"/>
    <x v="2"/>
    <s v="Paper"/>
    <x v="6"/>
    <n v="1"/>
    <n v="459.86"/>
    <n v="0.05"/>
    <n v="436.87"/>
    <n v="86.21"/>
    <s v="Cash"/>
  </r>
  <r>
    <s v="ORD-01447"/>
    <x v="96"/>
    <s v="CUST-0120"/>
    <s v="Customer 0120"/>
    <s v="Small Business"/>
    <x v="3"/>
    <s v="Bihar"/>
    <s v="Patna"/>
    <x v="1"/>
    <s v="Phones"/>
    <x v="11"/>
    <n v="2"/>
    <n v="17446.95"/>
    <n v="0.1"/>
    <n v="31404.51"/>
    <n v="5011.09"/>
    <s v="Card"/>
  </r>
  <r>
    <s v="ORD-01128"/>
    <x v="96"/>
    <s v="CUST-0283"/>
    <s v="Customer 0283"/>
    <s v="Consumer"/>
    <x v="1"/>
    <s v="Telangana"/>
    <s v="Hyderabad"/>
    <x v="2"/>
    <s v="Stationery"/>
    <x v="13"/>
    <n v="1"/>
    <n v="576.4"/>
    <n v="0.05"/>
    <n v="547.58000000000004"/>
    <n v="116.23"/>
    <s v="UPI"/>
  </r>
  <r>
    <s v="ORD-00852"/>
    <x v="97"/>
    <s v="CUST-0104"/>
    <s v="Customer 0104"/>
    <s v="Small Business"/>
    <x v="1"/>
    <s v="Karnataka"/>
    <s v="Bengaluru"/>
    <x v="1"/>
    <s v="Accessories"/>
    <x v="3"/>
    <n v="1"/>
    <n v="1242.44"/>
    <n v="0.1"/>
    <n v="1118.2"/>
    <n v="91.65"/>
    <s v="Card"/>
  </r>
  <r>
    <s v="ORD-01313"/>
    <x v="97"/>
    <s v="CUST-0289"/>
    <s v="Customer 0289"/>
    <s v="Consumer"/>
    <x v="3"/>
    <s v="West Bengal"/>
    <s v="Kolkata"/>
    <x v="2"/>
    <s v="Stationery"/>
    <x v="9"/>
    <n v="2"/>
    <n v="333.67"/>
    <n v="0"/>
    <n v="667.34"/>
    <n v="164.56"/>
    <s v="Card"/>
  </r>
  <r>
    <s v="ORD-00255"/>
    <x v="97"/>
    <s v="CUST-0146"/>
    <s v="Customer 0146"/>
    <s v="Corporate"/>
    <x v="1"/>
    <s v="Karnataka"/>
    <s v="Bengaluru"/>
    <x v="1"/>
    <s v="Phones"/>
    <x v="1"/>
    <n v="3"/>
    <n v="43507.62"/>
    <n v="0"/>
    <n v="130522.86"/>
    <n v="13841.06"/>
    <s v="Cash"/>
  </r>
  <r>
    <s v="ORD-00295"/>
    <x v="97"/>
    <s v="CUST-0290"/>
    <s v="Customer 0290"/>
    <s v="Corporate"/>
    <x v="1"/>
    <s v="Telangana"/>
    <s v="Hyderabad"/>
    <x v="1"/>
    <s v="Laptops"/>
    <x v="5"/>
    <n v="2"/>
    <n v="47763.3"/>
    <n v="0.1"/>
    <n v="85973.94"/>
    <n v="12853.01"/>
    <s v="Cash"/>
  </r>
  <r>
    <s v="ORD-00160"/>
    <x v="98"/>
    <s v="CUST-0190"/>
    <s v="Customer 0190"/>
    <s v="Consumer"/>
    <x v="1"/>
    <s v="Telangana"/>
    <s v="Hyderabad"/>
    <x v="1"/>
    <s v="Phones"/>
    <x v="11"/>
    <n v="2"/>
    <n v="18754.91"/>
    <n v="0.1"/>
    <n v="33758.839999999997"/>
    <n v="3874.53"/>
    <s v="Net Banking"/>
  </r>
  <r>
    <s v="ORD-00184"/>
    <x v="98"/>
    <s v="CUST-0121"/>
    <s v="Customer 0121"/>
    <s v="Small Business"/>
    <x v="3"/>
    <s v="Odisha"/>
    <s v="Bhubaneswar"/>
    <x v="0"/>
    <s v="Storage"/>
    <x v="4"/>
    <n v="2"/>
    <n v="13990.89"/>
    <n v="0.05"/>
    <n v="26582.69"/>
    <n v="4065.52"/>
    <s v="Card"/>
  </r>
  <r>
    <s v="ORD-00253"/>
    <x v="98"/>
    <s v="CUST-0186"/>
    <s v="Customer 0186"/>
    <s v="Consumer"/>
    <x v="1"/>
    <s v="Telangana"/>
    <s v="Hyderabad"/>
    <x v="1"/>
    <s v="Accessories"/>
    <x v="3"/>
    <n v="2"/>
    <n v="1241.31"/>
    <n v="0.2"/>
    <n v="1986.1"/>
    <n v="149.22"/>
    <s v="UPI"/>
  </r>
  <r>
    <s v="ORD-00837"/>
    <x v="98"/>
    <s v="CUST-0043"/>
    <s v="Customer 0043"/>
    <s v="Consumer"/>
    <x v="2"/>
    <s v="Delhi"/>
    <s v="Delhi"/>
    <x v="2"/>
    <s v="Storage"/>
    <x v="2"/>
    <n v="2"/>
    <n v="756.41"/>
    <n v="0.05"/>
    <n v="1437.18"/>
    <n v="297.56"/>
    <s v="Cash"/>
  </r>
  <r>
    <s v="ORD-00394"/>
    <x v="98"/>
    <s v="CUST-0124"/>
    <s v="Customer 0124"/>
    <s v="Corporate"/>
    <x v="0"/>
    <s v="Maharashtra"/>
    <s v="Mumbai"/>
    <x v="1"/>
    <s v="Phones"/>
    <x v="1"/>
    <n v="2"/>
    <n v="43283.21"/>
    <n v="0.1"/>
    <n v="77909.78"/>
    <n v="8223.7099999999991"/>
    <s v="Net Banking"/>
  </r>
  <r>
    <s v="ORD-00839"/>
    <x v="98"/>
    <s v="CUST-0102"/>
    <s v="Customer 0102"/>
    <s v="Consumer"/>
    <x v="3"/>
    <s v="Odisha"/>
    <s v="Bhubaneswar"/>
    <x v="1"/>
    <s v="Accessories"/>
    <x v="8"/>
    <n v="1"/>
    <n v="1843.93"/>
    <n v="0.1"/>
    <n v="1659.54"/>
    <n v="230.27"/>
    <s v="Card"/>
  </r>
  <r>
    <s v="ORD-01106"/>
    <x v="99"/>
    <s v="CUST-0220"/>
    <s v="Customer 0220"/>
    <s v="Small Business"/>
    <x v="3"/>
    <s v="Odisha"/>
    <s v="Bhubaneswar"/>
    <x v="1"/>
    <s v="Phones"/>
    <x v="11"/>
    <n v="2"/>
    <n v="17428.79"/>
    <n v="0.1"/>
    <n v="31371.82"/>
    <n v="4305.12"/>
    <s v="UPI"/>
  </r>
  <r>
    <s v="ORD-01248"/>
    <x v="99"/>
    <s v="CUST-0059"/>
    <s v="Customer 0059"/>
    <s v="Corporate"/>
    <x v="1"/>
    <s v="Tamil Nadu"/>
    <s v="Chennai"/>
    <x v="0"/>
    <s v="Tables"/>
    <x v="0"/>
    <n v="1"/>
    <n v="12481.76"/>
    <n v="0.1"/>
    <n v="11233.58"/>
    <n v="2279.77"/>
    <s v="Net Banking"/>
  </r>
  <r>
    <s v="ORD-01385"/>
    <x v="100"/>
    <s v="CUST-0115"/>
    <s v="Customer 0115"/>
    <s v="Small Business"/>
    <x v="3"/>
    <s v="Odisha"/>
    <s v="Bhubaneswar"/>
    <x v="0"/>
    <s v="Tables"/>
    <x v="12"/>
    <n v="3"/>
    <n v="6681.76"/>
    <n v="0.2"/>
    <n v="16036.22"/>
    <n v="3281.89"/>
    <s v="Card"/>
  </r>
  <r>
    <s v="ORD-01463"/>
    <x v="100"/>
    <s v="CUST-0220"/>
    <s v="Customer 0220"/>
    <s v="Corporate"/>
    <x v="2"/>
    <s v="Delhi"/>
    <s v="Delhi"/>
    <x v="2"/>
    <s v="Storage"/>
    <x v="2"/>
    <n v="2"/>
    <n v="763.01"/>
    <n v="0"/>
    <n v="1526.02"/>
    <n v="358.21"/>
    <s v="UPI"/>
  </r>
  <r>
    <s v="ORD-00942"/>
    <x v="100"/>
    <s v="CUST-0113"/>
    <s v="Customer 0113"/>
    <s v="Consumer"/>
    <x v="3"/>
    <s v="Bihar"/>
    <s v="Patna"/>
    <x v="0"/>
    <s v="Tables"/>
    <x v="0"/>
    <n v="1"/>
    <n v="12352.6"/>
    <n v="0.05"/>
    <n v="11734.97"/>
    <n v="2143.4699999999998"/>
    <s v="Net Banking"/>
  </r>
  <r>
    <s v="ORD-00373"/>
    <x v="100"/>
    <s v="CUST-0287"/>
    <s v="Customer 0287"/>
    <s v="Consumer"/>
    <x v="1"/>
    <s v="Karnataka"/>
    <s v="Bengaluru"/>
    <x v="1"/>
    <s v="Laptops"/>
    <x v="5"/>
    <n v="1"/>
    <n v="46859.25"/>
    <n v="0.2"/>
    <n v="37487.4"/>
    <n v="529.52"/>
    <s v="Card"/>
  </r>
  <r>
    <s v="ORD-00628"/>
    <x v="100"/>
    <s v="CUST-0102"/>
    <s v="Customer 0102"/>
    <s v="Consumer"/>
    <x v="0"/>
    <s v="Gujarat"/>
    <s v="Ahmedabad"/>
    <x v="0"/>
    <s v="Chairs"/>
    <x v="7"/>
    <n v="4"/>
    <n v="8173.18"/>
    <n v="0"/>
    <n v="32692.720000000001"/>
    <n v="5628.93"/>
    <s v="Cash"/>
  </r>
  <r>
    <s v="ORD-00100"/>
    <x v="100"/>
    <s v="CUST-0176"/>
    <s v="Customer 0176"/>
    <s v="Consumer"/>
    <x v="0"/>
    <s v="Maharashtra"/>
    <s v="Mumbai"/>
    <x v="1"/>
    <s v="Phones"/>
    <x v="1"/>
    <n v="2"/>
    <n v="43029.27"/>
    <n v="0.15"/>
    <n v="73149.759999999995"/>
    <n v="4068.27"/>
    <s v="UPI"/>
  </r>
  <r>
    <s v="ORD-00663"/>
    <x v="101"/>
    <s v="CUST-0253"/>
    <s v="Customer 0253"/>
    <s v="Consumer"/>
    <x v="2"/>
    <s v="Rajasthan"/>
    <s v="Jaipur"/>
    <x v="2"/>
    <s v="Stationery"/>
    <x v="13"/>
    <n v="2"/>
    <n v="615.35"/>
    <n v="0.15"/>
    <n v="1046.0999999999999"/>
    <n v="237.98"/>
    <s v="Card"/>
  </r>
  <r>
    <s v="ORD-01037"/>
    <x v="101"/>
    <s v="CUST-0282"/>
    <s v="Customer 0282"/>
    <s v="Consumer"/>
    <x v="1"/>
    <s v="Karnataka"/>
    <s v="Bengaluru"/>
    <x v="0"/>
    <s v="Storage"/>
    <x v="4"/>
    <n v="3"/>
    <n v="14804.35"/>
    <n v="0.05"/>
    <n v="42192.4"/>
    <n v="4960.1499999999996"/>
    <s v="Net Banking"/>
  </r>
  <r>
    <s v="ORD-00861"/>
    <x v="101"/>
    <s v="CUST-0103"/>
    <s v="Customer 0103"/>
    <s v="Consumer"/>
    <x v="2"/>
    <s v="Delhi"/>
    <s v="Delhi"/>
    <x v="1"/>
    <s v="Phones"/>
    <x v="11"/>
    <n v="3"/>
    <n v="18258.39"/>
    <n v="0.1"/>
    <n v="49297.65"/>
    <n v="2957"/>
    <s v="UPI"/>
  </r>
  <r>
    <s v="ORD-01074"/>
    <x v="102"/>
    <s v="CUST-0128"/>
    <s v="Customer 0128"/>
    <s v="Consumer"/>
    <x v="2"/>
    <s v="Delhi"/>
    <s v="Delhi"/>
    <x v="0"/>
    <s v="Storage"/>
    <x v="4"/>
    <n v="2"/>
    <n v="14006.95"/>
    <n v="0"/>
    <n v="28013.9"/>
    <n v="3425.44"/>
    <s v="UPI"/>
  </r>
  <r>
    <s v="ORD-00645"/>
    <x v="102"/>
    <s v="CUST-0290"/>
    <s v="Customer 0290"/>
    <s v="Small Business"/>
    <x v="1"/>
    <s v="Karnataka"/>
    <s v="Bengaluru"/>
    <x v="1"/>
    <s v="Accessories"/>
    <x v="8"/>
    <n v="3"/>
    <n v="1754.02"/>
    <n v="0.05"/>
    <n v="4998.96"/>
    <n v="512.82000000000005"/>
    <s v="Net Banking"/>
  </r>
  <r>
    <s v="ORD-00616"/>
    <x v="102"/>
    <s v="CUST-0114"/>
    <s v="Customer 0114"/>
    <s v="Small Business"/>
    <x v="0"/>
    <s v="Gujarat"/>
    <s v="Ahmedabad"/>
    <x v="0"/>
    <s v="Storage"/>
    <x v="4"/>
    <n v="1"/>
    <n v="14252.16"/>
    <n v="0.15"/>
    <n v="12114.34"/>
    <n v="1649.13"/>
    <s v="Net Banking"/>
  </r>
  <r>
    <s v="ORD-00343"/>
    <x v="103"/>
    <s v="CUST-0106"/>
    <s v="Customer 0106"/>
    <s v="Consumer"/>
    <x v="1"/>
    <s v="Telangana"/>
    <s v="Hyderabad"/>
    <x v="2"/>
    <s v="Paper"/>
    <x v="6"/>
    <n v="2"/>
    <n v="443.12"/>
    <n v="0"/>
    <n v="886.24"/>
    <n v="229.93"/>
    <s v="Cash"/>
  </r>
  <r>
    <s v="ORD-00228"/>
    <x v="104"/>
    <s v="CUST-0213"/>
    <s v="Customer 0213"/>
    <s v="Small Business"/>
    <x v="2"/>
    <s v="Uttar Pradesh"/>
    <s v="Lucknow"/>
    <x v="2"/>
    <s v="Paper"/>
    <x v="6"/>
    <n v="1"/>
    <n v="464.25"/>
    <n v="0.05"/>
    <n v="441.04"/>
    <n v="67.760000000000005"/>
    <s v="Card"/>
  </r>
  <r>
    <s v="ORD-00318"/>
    <x v="104"/>
    <s v="CUST-0206"/>
    <s v="Customer 0206"/>
    <s v="Consumer"/>
    <x v="1"/>
    <s v="Telangana"/>
    <s v="Hyderabad"/>
    <x v="1"/>
    <s v="Accessories"/>
    <x v="8"/>
    <n v="1"/>
    <n v="1793.56"/>
    <n v="0.05"/>
    <n v="1703.88"/>
    <n v="286.20999999999998"/>
    <s v="Net Banking"/>
  </r>
  <r>
    <s v="ORD-00145"/>
    <x v="104"/>
    <s v="CUST-0228"/>
    <s v="Customer 0228"/>
    <s v="Corporate"/>
    <x v="0"/>
    <s v="Gujarat"/>
    <s v="Ahmedabad"/>
    <x v="2"/>
    <s v="Stationery"/>
    <x v="9"/>
    <n v="3"/>
    <n v="357.63"/>
    <n v="0.15"/>
    <n v="911.96"/>
    <n v="296.77"/>
    <s v="Cash"/>
  </r>
  <r>
    <s v="ORD-00520"/>
    <x v="105"/>
    <s v="CUST-0166"/>
    <s v="Customer 0166"/>
    <s v="Consumer"/>
    <x v="0"/>
    <s v="Gujarat"/>
    <s v="Ahmedabad"/>
    <x v="1"/>
    <s v="Phones"/>
    <x v="11"/>
    <n v="4"/>
    <n v="18445.14"/>
    <n v="0"/>
    <n v="73780.56"/>
    <n v="6397.36"/>
    <s v="Card"/>
  </r>
  <r>
    <s v="ORD-00267"/>
    <x v="105"/>
    <s v="CUST-0202"/>
    <s v="Customer 0202"/>
    <s v="Consumer"/>
    <x v="3"/>
    <s v="Odisha"/>
    <s v="Bhubaneswar"/>
    <x v="0"/>
    <s v="Storage"/>
    <x v="4"/>
    <n v="2"/>
    <n v="15027.74"/>
    <n v="0.1"/>
    <n v="27049.93"/>
    <n v="4451.6499999999996"/>
    <s v="UPI"/>
  </r>
  <r>
    <s v="ORD-00967"/>
    <x v="105"/>
    <s v="CUST-0282"/>
    <s v="Customer 0282"/>
    <s v="Consumer"/>
    <x v="3"/>
    <s v="West Bengal"/>
    <s v="Kolkata"/>
    <x v="1"/>
    <s v="Laptops"/>
    <x v="10"/>
    <n v="4"/>
    <n v="65407.63"/>
    <n v="0.05"/>
    <n v="248548.99"/>
    <n v="19247.11"/>
    <s v="UPI"/>
  </r>
  <r>
    <s v="ORD-00135"/>
    <x v="105"/>
    <s v="CUST-0175"/>
    <s v="Customer 0175"/>
    <s v="Corporate"/>
    <x v="2"/>
    <s v="Delhi"/>
    <s v="Delhi"/>
    <x v="2"/>
    <s v="Stationery"/>
    <x v="13"/>
    <n v="2"/>
    <n v="618.34"/>
    <n v="0.15"/>
    <n v="1051.18"/>
    <n v="230.75"/>
    <s v="Cash"/>
  </r>
  <r>
    <s v="ORD-00413"/>
    <x v="105"/>
    <s v="CUST-0039"/>
    <s v="Customer 0039"/>
    <s v="Small Business"/>
    <x v="1"/>
    <s v="Karnataka"/>
    <s v="Bengaluru"/>
    <x v="1"/>
    <s v="Laptops"/>
    <x v="10"/>
    <n v="3"/>
    <n v="67134.850000000006"/>
    <n v="0.1"/>
    <n v="181264.1"/>
    <n v="12562.54"/>
    <s v="Net Banking"/>
  </r>
  <r>
    <s v="ORD-00994"/>
    <x v="105"/>
    <s v="CUST-0082"/>
    <s v="Customer 0082"/>
    <s v="Consumer"/>
    <x v="2"/>
    <s v="Uttar Pradesh"/>
    <s v="Lucknow"/>
    <x v="2"/>
    <s v="Storage"/>
    <x v="2"/>
    <n v="5"/>
    <n v="765.7"/>
    <n v="0"/>
    <n v="3828.5"/>
    <n v="981.71"/>
    <s v="UPI"/>
  </r>
  <r>
    <s v="ORD-01071"/>
    <x v="106"/>
    <s v="CUST-0289"/>
    <s v="Customer 0289"/>
    <s v="Consumer"/>
    <x v="3"/>
    <s v="Bihar"/>
    <s v="Patna"/>
    <x v="2"/>
    <s v="Stationery"/>
    <x v="9"/>
    <n v="2"/>
    <n v="363.18"/>
    <n v="0.1"/>
    <n v="653.72"/>
    <n v="204.24"/>
    <s v="UPI"/>
  </r>
  <r>
    <s v="ORD-01098"/>
    <x v="106"/>
    <s v="CUST-0095"/>
    <s v="Customer 0095"/>
    <s v="Small Business"/>
    <x v="1"/>
    <s v="Karnataka"/>
    <s v="Bengaluru"/>
    <x v="2"/>
    <s v="Stationery"/>
    <x v="9"/>
    <n v="2"/>
    <n v="336.94"/>
    <n v="0.1"/>
    <n v="606.49"/>
    <n v="169.74"/>
    <s v="Net Banking"/>
  </r>
  <r>
    <s v="ORD-00720"/>
    <x v="106"/>
    <s v="CUST-0074"/>
    <s v="Customer 0074"/>
    <s v="Consumer"/>
    <x v="0"/>
    <s v="Maharashtra"/>
    <s v="Pune"/>
    <x v="0"/>
    <s v="Tables"/>
    <x v="0"/>
    <n v="1"/>
    <n v="11465.05"/>
    <n v="0"/>
    <n v="11465.05"/>
    <n v="2706.63"/>
    <s v="Net Banking"/>
  </r>
  <r>
    <s v="ORD-00153"/>
    <x v="106"/>
    <s v="CUST-0241"/>
    <s v="Customer 0241"/>
    <s v="Consumer"/>
    <x v="1"/>
    <s v="Karnataka"/>
    <s v="Bengaluru"/>
    <x v="0"/>
    <s v="Chairs"/>
    <x v="7"/>
    <n v="1"/>
    <n v="8587.74"/>
    <n v="0.15"/>
    <n v="7299.58"/>
    <n v="912.44"/>
    <s v="Card"/>
  </r>
  <r>
    <s v="ORD-00512"/>
    <x v="106"/>
    <s v="CUST-0227"/>
    <s v="Customer 0227"/>
    <s v="Consumer"/>
    <x v="0"/>
    <s v="Maharashtra"/>
    <s v="Pune"/>
    <x v="1"/>
    <s v="Accessories"/>
    <x v="3"/>
    <n v="1"/>
    <n v="1201.26"/>
    <n v="0.05"/>
    <n v="1141.2"/>
    <n v="122.42"/>
    <s v="Card"/>
  </r>
  <r>
    <s v="ORD-00223"/>
    <x v="106"/>
    <s v="CUST-0147"/>
    <s v="Customer 0147"/>
    <s v="Consumer"/>
    <x v="2"/>
    <s v="Uttar Pradesh"/>
    <s v="Lucknow"/>
    <x v="0"/>
    <s v="Storage"/>
    <x v="4"/>
    <n v="4"/>
    <n v="14340.31"/>
    <n v="0"/>
    <n v="57361.24"/>
    <n v="13581.86"/>
    <s v="Net Banking"/>
  </r>
  <r>
    <s v="ORD-00614"/>
    <x v="106"/>
    <s v="CUST-0141"/>
    <s v="Customer 0141"/>
    <s v="Consumer"/>
    <x v="3"/>
    <s v="Bihar"/>
    <s v="Patna"/>
    <x v="1"/>
    <s v="Accessories"/>
    <x v="8"/>
    <n v="1"/>
    <n v="1792.73"/>
    <n v="0"/>
    <n v="1792.73"/>
    <n v="301.16000000000003"/>
    <s v="Cash"/>
  </r>
  <r>
    <s v="ORD-00445"/>
    <x v="106"/>
    <s v="CUST-0184"/>
    <s v="Customer 0184"/>
    <s v="Consumer"/>
    <x v="3"/>
    <s v="West Bengal"/>
    <s v="Kolkata"/>
    <x v="1"/>
    <s v="Accessories"/>
    <x v="8"/>
    <n v="5"/>
    <n v="1762.1"/>
    <n v="0.15"/>
    <n v="7488.93"/>
    <n v="1082.3599999999999"/>
    <s v="UPI"/>
  </r>
  <r>
    <s v="ORD-00848"/>
    <x v="107"/>
    <s v="CUST-0111"/>
    <s v="Customer 0111"/>
    <s v="Consumer"/>
    <x v="0"/>
    <s v="Maharashtra"/>
    <s v="Pune"/>
    <x v="1"/>
    <s v="Phones"/>
    <x v="11"/>
    <n v="1"/>
    <n v="17986.810000000001"/>
    <n v="0.15"/>
    <n v="15288.79"/>
    <n v="1635.14"/>
    <s v="Net Banking"/>
  </r>
  <r>
    <s v="ORD-00213"/>
    <x v="107"/>
    <s v="CUST-0084"/>
    <s v="Customer 0084"/>
    <s v="Consumer"/>
    <x v="3"/>
    <s v="Odisha"/>
    <s v="Bhubaneswar"/>
    <x v="2"/>
    <s v="Stationery"/>
    <x v="13"/>
    <n v="2"/>
    <n v="627.97"/>
    <n v="0"/>
    <n v="1255.94"/>
    <n v="220.41"/>
    <s v="Cash"/>
  </r>
  <r>
    <s v="ORD-00143"/>
    <x v="107"/>
    <s v="CUST-0093"/>
    <s v="Customer 0093"/>
    <s v="Consumer"/>
    <x v="1"/>
    <s v="Karnataka"/>
    <s v="Bengaluru"/>
    <x v="1"/>
    <s v="Phones"/>
    <x v="1"/>
    <n v="1"/>
    <n v="40854.53"/>
    <n v="0.05"/>
    <n v="38811.800000000003"/>
    <n v="3015.84"/>
    <s v="Card"/>
  </r>
  <r>
    <s v="ORD-01396"/>
    <x v="107"/>
    <s v="CUST-0224"/>
    <s v="Customer 0224"/>
    <s v="Consumer"/>
    <x v="3"/>
    <s v="West Bengal"/>
    <s v="Kolkata"/>
    <x v="2"/>
    <s v="Stationery"/>
    <x v="9"/>
    <n v="2"/>
    <n v="346.68"/>
    <n v="0"/>
    <n v="693.36"/>
    <n v="109.54"/>
    <s v="UPI"/>
  </r>
  <r>
    <s v="ORD-00236"/>
    <x v="108"/>
    <s v="CUST-0021"/>
    <s v="Customer 0021"/>
    <s v="Small Business"/>
    <x v="1"/>
    <s v="Telangana"/>
    <s v="Hyderabad"/>
    <x v="2"/>
    <s v="Stationery"/>
    <x v="9"/>
    <n v="2"/>
    <n v="352.82"/>
    <n v="0.05"/>
    <n v="670.36"/>
    <n v="112.14"/>
    <s v="Card"/>
  </r>
  <r>
    <s v="ORD-00061"/>
    <x v="108"/>
    <s v="CUST-0028"/>
    <s v="Customer 0028"/>
    <s v="Consumer"/>
    <x v="1"/>
    <s v="Tamil Nadu"/>
    <s v="Chennai"/>
    <x v="0"/>
    <s v="Storage"/>
    <x v="4"/>
    <n v="2"/>
    <n v="13828.19"/>
    <n v="0.1"/>
    <n v="24890.74"/>
    <n v="3299.42"/>
    <s v="Cash"/>
  </r>
  <r>
    <s v="ORD-01370"/>
    <x v="108"/>
    <s v="CUST-0179"/>
    <s v="Customer 0179"/>
    <s v="Small Business"/>
    <x v="1"/>
    <s v="Telangana"/>
    <s v="Hyderabad"/>
    <x v="0"/>
    <s v="Storage"/>
    <x v="4"/>
    <n v="1"/>
    <n v="15165.18"/>
    <n v="0"/>
    <n v="15165.18"/>
    <n v="2492.33"/>
    <s v="Cash"/>
  </r>
  <r>
    <s v="ORD-00366"/>
    <x v="108"/>
    <s v="CUST-0184"/>
    <s v="Customer 0184"/>
    <s v="Consumer"/>
    <x v="3"/>
    <s v="Bihar"/>
    <s v="Patna"/>
    <x v="2"/>
    <s v="Paper"/>
    <x v="6"/>
    <n v="1"/>
    <n v="458.64"/>
    <n v="0"/>
    <n v="458.64"/>
    <n v="110.8"/>
    <s v="UPI"/>
  </r>
  <r>
    <s v="ORD-00832"/>
    <x v="108"/>
    <s v="CUST-0166"/>
    <s v="Customer 0166"/>
    <s v="Consumer"/>
    <x v="0"/>
    <s v="Maharashtra"/>
    <s v="Pune"/>
    <x v="2"/>
    <s v="Storage"/>
    <x v="2"/>
    <n v="1"/>
    <n v="772.53"/>
    <n v="0.15"/>
    <n v="656.65"/>
    <n v="133.72999999999999"/>
    <s v="Card"/>
  </r>
  <r>
    <s v="ORD-00063"/>
    <x v="108"/>
    <s v="CUST-0025"/>
    <s v="Customer 0025"/>
    <s v="Small Business"/>
    <x v="2"/>
    <s v="Rajasthan"/>
    <s v="Jaipur"/>
    <x v="2"/>
    <s v="Stationery"/>
    <x v="9"/>
    <n v="2"/>
    <n v="360.12"/>
    <n v="0.1"/>
    <n v="648.22"/>
    <n v="153.96"/>
    <s v="Card"/>
  </r>
  <r>
    <s v="ORD-01118"/>
    <x v="108"/>
    <s v="CUST-0116"/>
    <s v="Customer 0116"/>
    <s v="Corporate"/>
    <x v="1"/>
    <s v="Karnataka"/>
    <s v="Bengaluru"/>
    <x v="1"/>
    <s v="Accessories"/>
    <x v="3"/>
    <n v="1"/>
    <n v="1224.08"/>
    <n v="0"/>
    <n v="1224.08"/>
    <n v="142.08000000000001"/>
    <s v="Net Banking"/>
  </r>
  <r>
    <s v="ORD-00878"/>
    <x v="109"/>
    <s v="CUST-0065"/>
    <s v="Customer 0065"/>
    <s v="Consumer"/>
    <x v="2"/>
    <s v="Rajasthan"/>
    <s v="Jaipur"/>
    <x v="0"/>
    <s v="Tables"/>
    <x v="0"/>
    <n v="2"/>
    <n v="12245.22"/>
    <n v="0.05"/>
    <n v="23265.919999999998"/>
    <n v="5594.43"/>
    <s v="UPI"/>
  </r>
  <r>
    <s v="ORD-00492"/>
    <x v="109"/>
    <s v="CUST-0279"/>
    <s v="Customer 0279"/>
    <s v="Consumer"/>
    <x v="0"/>
    <s v="Maharashtra"/>
    <s v="Pune"/>
    <x v="1"/>
    <s v="Phones"/>
    <x v="1"/>
    <n v="1"/>
    <n v="41660.370000000003"/>
    <n v="0"/>
    <n v="41660.370000000003"/>
    <n v="3993.64"/>
    <s v="UPI"/>
  </r>
  <r>
    <s v="ORD-00719"/>
    <x v="109"/>
    <s v="CUST-0055"/>
    <s v="Customer 0055"/>
    <s v="Small Business"/>
    <x v="1"/>
    <s v="Karnataka"/>
    <s v="Bengaluru"/>
    <x v="2"/>
    <s v="Stationery"/>
    <x v="9"/>
    <n v="3"/>
    <n v="344.27"/>
    <n v="0.05"/>
    <n v="981.17"/>
    <n v="202.56"/>
    <s v="Card"/>
  </r>
  <r>
    <s v="ORD-01139"/>
    <x v="109"/>
    <s v="CUST-0180"/>
    <s v="Customer 0180"/>
    <s v="Consumer"/>
    <x v="1"/>
    <s v="Tamil Nadu"/>
    <s v="Chennai"/>
    <x v="2"/>
    <s v="Stationery"/>
    <x v="9"/>
    <n v="2"/>
    <n v="340.26"/>
    <n v="0.1"/>
    <n v="612.47"/>
    <n v="173.69"/>
    <s v="Net Banking"/>
  </r>
  <r>
    <s v="ORD-01384"/>
    <x v="109"/>
    <s v="CUST-0248"/>
    <s v="Customer 0248"/>
    <s v="Consumer"/>
    <x v="1"/>
    <s v="Tamil Nadu"/>
    <s v="Chennai"/>
    <x v="2"/>
    <s v="Stationery"/>
    <x v="13"/>
    <n v="5"/>
    <n v="622.59"/>
    <n v="0.05"/>
    <n v="2957.3"/>
    <n v="892.33"/>
    <s v="Net Banking"/>
  </r>
  <r>
    <s v="ORD-01495"/>
    <x v="110"/>
    <s v="CUST-0062"/>
    <s v="Customer 0062"/>
    <s v="Corporate"/>
    <x v="0"/>
    <s v="Maharashtra"/>
    <s v="Mumbai"/>
    <x v="0"/>
    <s v="Chairs"/>
    <x v="7"/>
    <n v="4"/>
    <n v="8377.92"/>
    <n v="0"/>
    <n v="33511.68"/>
    <n v="7451.09"/>
    <s v="Card"/>
  </r>
  <r>
    <s v="ORD-01110"/>
    <x v="110"/>
    <s v="CUST-0247"/>
    <s v="Customer 0247"/>
    <s v="Consumer"/>
    <x v="2"/>
    <s v="Rajasthan"/>
    <s v="Jaipur"/>
    <x v="1"/>
    <s v="Accessories"/>
    <x v="8"/>
    <n v="3"/>
    <n v="1777.62"/>
    <n v="0.1"/>
    <n v="4799.57"/>
    <n v="345.64"/>
    <s v="Card"/>
  </r>
  <r>
    <s v="ORD-01090"/>
    <x v="110"/>
    <s v="CUST-0087"/>
    <s v="Customer 0087"/>
    <s v="Consumer"/>
    <x v="3"/>
    <s v="Odisha"/>
    <s v="Bhubaneswar"/>
    <x v="1"/>
    <s v="Accessories"/>
    <x v="3"/>
    <n v="2"/>
    <n v="1254.19"/>
    <n v="0.05"/>
    <n v="2382.96"/>
    <n v="470.71"/>
    <s v="Net Banking"/>
  </r>
  <r>
    <s v="ORD-01342"/>
    <x v="110"/>
    <s v="CUST-0069"/>
    <s v="Customer 0069"/>
    <s v="Corporate"/>
    <x v="2"/>
    <s v="Delhi"/>
    <s v="Delhi"/>
    <x v="1"/>
    <s v="Phones"/>
    <x v="1"/>
    <n v="1"/>
    <n v="43823.41"/>
    <n v="0.05"/>
    <n v="41632.239999999998"/>
    <n v="4309.9799999999996"/>
    <s v="Cash"/>
  </r>
  <r>
    <s v="ORD-00019"/>
    <x v="110"/>
    <s v="CUST-0099"/>
    <s v="Customer 0099"/>
    <s v="Corporate"/>
    <x v="0"/>
    <s v="Maharashtra"/>
    <s v="Mumbai"/>
    <x v="0"/>
    <s v="Tables"/>
    <x v="12"/>
    <n v="4"/>
    <n v="6437.93"/>
    <n v="0.15"/>
    <n v="21888.959999999999"/>
    <n v="4709.05"/>
    <s v="Net Banking"/>
  </r>
  <r>
    <s v="ORD-00349"/>
    <x v="111"/>
    <s v="CUST-0287"/>
    <s v="Customer 0287"/>
    <s v="Consumer"/>
    <x v="3"/>
    <s v="Bihar"/>
    <s v="Patna"/>
    <x v="0"/>
    <s v="Tables"/>
    <x v="12"/>
    <n v="4"/>
    <n v="6346.11"/>
    <n v="0"/>
    <n v="25384.44"/>
    <n v="3048.79"/>
    <s v="UPI"/>
  </r>
  <r>
    <s v="ORD-01190"/>
    <x v="111"/>
    <s v="CUST-0231"/>
    <s v="Customer 0231"/>
    <s v="Corporate"/>
    <x v="0"/>
    <s v="Maharashtra"/>
    <s v="Mumbai"/>
    <x v="0"/>
    <s v="Tables"/>
    <x v="0"/>
    <n v="1"/>
    <n v="11820"/>
    <n v="0.2"/>
    <n v="9456"/>
    <n v="1778.39"/>
    <s v="Net Banking"/>
  </r>
  <r>
    <s v="ORD-00203"/>
    <x v="111"/>
    <s v="CUST-0210"/>
    <s v="Customer 0210"/>
    <s v="Consumer"/>
    <x v="1"/>
    <s v="Tamil Nadu"/>
    <s v="Chennai"/>
    <x v="0"/>
    <s v="Tables"/>
    <x v="0"/>
    <n v="3"/>
    <n v="11780.11"/>
    <n v="0.15"/>
    <n v="30039.279999999999"/>
    <n v="6253.23"/>
    <s v="Cash"/>
  </r>
  <r>
    <s v="ORD-00608"/>
    <x v="112"/>
    <s v="CUST-0009"/>
    <s v="Customer 0009"/>
    <s v="Consumer"/>
    <x v="1"/>
    <s v="Tamil Nadu"/>
    <s v="Chennai"/>
    <x v="2"/>
    <s v="Storage"/>
    <x v="2"/>
    <n v="1"/>
    <n v="736.09"/>
    <n v="0.1"/>
    <n v="662.48"/>
    <n v="92.58"/>
    <s v="UPI"/>
  </r>
  <r>
    <s v="ORD-01000"/>
    <x v="112"/>
    <s v="CUST-0169"/>
    <s v="Customer 0169"/>
    <s v="Consumer"/>
    <x v="1"/>
    <s v="Karnataka"/>
    <s v="Bengaluru"/>
    <x v="1"/>
    <s v="Accessories"/>
    <x v="8"/>
    <n v="1"/>
    <n v="1823.94"/>
    <n v="0.1"/>
    <n v="1641.55"/>
    <n v="117.12"/>
    <s v="Net Banking"/>
  </r>
  <r>
    <s v="ORD-00707"/>
    <x v="112"/>
    <s v="CUST-0119"/>
    <s v="Customer 0119"/>
    <s v="Consumer"/>
    <x v="1"/>
    <s v="Tamil Nadu"/>
    <s v="Chennai"/>
    <x v="1"/>
    <s v="Accessories"/>
    <x v="8"/>
    <n v="2"/>
    <n v="1791.89"/>
    <n v="0.05"/>
    <n v="3404.59"/>
    <n v="449.67"/>
    <s v="Cash"/>
  </r>
  <r>
    <s v="ORD-00658"/>
    <x v="112"/>
    <s v="CUST-0166"/>
    <s v="Customer 0166"/>
    <s v="Corporate"/>
    <x v="3"/>
    <s v="Odisha"/>
    <s v="Bhubaneswar"/>
    <x v="1"/>
    <s v="Phones"/>
    <x v="1"/>
    <n v="1"/>
    <n v="43741.95"/>
    <n v="0.2"/>
    <n v="34993.56"/>
    <n v="96.19"/>
    <s v="Cash"/>
  </r>
  <r>
    <s v="ORD-00310"/>
    <x v="112"/>
    <s v="CUST-0289"/>
    <s v="Customer 0289"/>
    <s v="Consumer"/>
    <x v="1"/>
    <s v="Tamil Nadu"/>
    <s v="Chennai"/>
    <x v="1"/>
    <s v="Accessories"/>
    <x v="8"/>
    <n v="2"/>
    <n v="1868.7"/>
    <n v="0.1"/>
    <n v="3363.66"/>
    <n v="239.3"/>
    <s v="Net Banking"/>
  </r>
  <r>
    <s v="ORD-00012"/>
    <x v="113"/>
    <s v="CUST-0128"/>
    <s v="Customer 0128"/>
    <s v="Small Business"/>
    <x v="3"/>
    <s v="Odisha"/>
    <s v="Bhubaneswar"/>
    <x v="0"/>
    <s v="Storage"/>
    <x v="4"/>
    <n v="4"/>
    <n v="13934.58"/>
    <n v="0.05"/>
    <n v="52951.4"/>
    <n v="7737.83"/>
    <s v="UPI"/>
  </r>
  <r>
    <s v="ORD-01382"/>
    <x v="113"/>
    <s v="CUST-0085"/>
    <s v="Customer 0085"/>
    <s v="Corporate"/>
    <x v="0"/>
    <s v="Maharashtra"/>
    <s v="Pune"/>
    <x v="2"/>
    <s v="Stationery"/>
    <x v="13"/>
    <n v="2"/>
    <n v="618.57000000000005"/>
    <n v="0.15"/>
    <n v="1051.57"/>
    <n v="289.08"/>
    <s v="Card"/>
  </r>
  <r>
    <s v="ORD-00714"/>
    <x v="113"/>
    <s v="CUST-0067"/>
    <s v="Customer 0067"/>
    <s v="Consumer"/>
    <x v="1"/>
    <s v="Tamil Nadu"/>
    <s v="Chennai"/>
    <x v="2"/>
    <s v="Stationery"/>
    <x v="13"/>
    <n v="1"/>
    <n v="581.77"/>
    <n v="0.1"/>
    <n v="523.59"/>
    <n v="140.46"/>
    <s v="Cash"/>
  </r>
  <r>
    <s v="ORD-01185"/>
    <x v="114"/>
    <s v="CUST-0260"/>
    <s v="Customer 0260"/>
    <s v="Corporate"/>
    <x v="1"/>
    <s v="Telangana"/>
    <s v="Hyderabad"/>
    <x v="2"/>
    <s v="Stationery"/>
    <x v="9"/>
    <n v="3"/>
    <n v="345.79"/>
    <n v="0.05"/>
    <n v="985.5"/>
    <n v="312.92"/>
    <s v="Net Banking"/>
  </r>
  <r>
    <s v="ORD-00273"/>
    <x v="114"/>
    <s v="CUST-0248"/>
    <s v="Customer 0248"/>
    <s v="Small Business"/>
    <x v="2"/>
    <s v="Delhi"/>
    <s v="Delhi"/>
    <x v="1"/>
    <s v="Accessories"/>
    <x v="8"/>
    <n v="5"/>
    <n v="1802.29"/>
    <n v="0.05"/>
    <n v="8560.8799999999992"/>
    <n v="1151.21"/>
    <s v="Card"/>
  </r>
  <r>
    <s v="ORD-01095"/>
    <x v="114"/>
    <s v="CUST-0247"/>
    <s v="Customer 0247"/>
    <s v="Consumer"/>
    <x v="3"/>
    <s v="Bihar"/>
    <s v="Patna"/>
    <x v="0"/>
    <s v="Tables"/>
    <x v="0"/>
    <n v="1"/>
    <n v="12302.97"/>
    <n v="0"/>
    <n v="12302.97"/>
    <n v="3320.99"/>
    <s v="UPI"/>
  </r>
  <r>
    <s v="ORD-00406"/>
    <x v="114"/>
    <s v="CUST-0263"/>
    <s v="Customer 0263"/>
    <s v="Corporate"/>
    <x v="3"/>
    <s v="Bihar"/>
    <s v="Patna"/>
    <x v="1"/>
    <s v="Phones"/>
    <x v="11"/>
    <n v="2"/>
    <n v="18363.13"/>
    <n v="0"/>
    <n v="36726.26"/>
    <n v="5799.26"/>
    <s v="UPI"/>
  </r>
  <r>
    <s v="ORD-00513"/>
    <x v="115"/>
    <s v="CUST-0198"/>
    <s v="Customer 0198"/>
    <s v="Consumer"/>
    <x v="1"/>
    <s v="Telangana"/>
    <s v="Hyderabad"/>
    <x v="0"/>
    <s v="Chairs"/>
    <x v="7"/>
    <n v="2"/>
    <n v="8080.26"/>
    <n v="0.15"/>
    <n v="13736.44"/>
    <n v="2735.55"/>
    <s v="Cash"/>
  </r>
  <r>
    <s v="ORD-00475"/>
    <x v="115"/>
    <s v="CUST-0263"/>
    <s v="Customer 0263"/>
    <s v="Consumer"/>
    <x v="3"/>
    <s v="West Bengal"/>
    <s v="Kolkata"/>
    <x v="1"/>
    <s v="Accessories"/>
    <x v="8"/>
    <n v="2"/>
    <n v="1844.07"/>
    <n v="0"/>
    <n v="3688.14"/>
    <n v="525.32000000000005"/>
    <s v="Net Banking"/>
  </r>
  <r>
    <s v="ORD-00609"/>
    <x v="115"/>
    <s v="CUST-0010"/>
    <s v="Customer 0010"/>
    <s v="Corporate"/>
    <x v="1"/>
    <s v="Karnataka"/>
    <s v="Bengaluru"/>
    <x v="0"/>
    <s v="Storage"/>
    <x v="4"/>
    <n v="1"/>
    <n v="15038.66"/>
    <n v="0.1"/>
    <n v="13534.79"/>
    <n v="1671.88"/>
    <s v="Net Banking"/>
  </r>
  <r>
    <s v="ORD-00088"/>
    <x v="116"/>
    <s v="CUST-0285"/>
    <s v="Customer 0285"/>
    <s v="Consumer"/>
    <x v="2"/>
    <s v="Uttar Pradesh"/>
    <s v="Lucknow"/>
    <x v="1"/>
    <s v="Phones"/>
    <x v="11"/>
    <n v="4"/>
    <n v="17715.27"/>
    <n v="0.15"/>
    <n v="60231.92"/>
    <n v="5245.04"/>
    <s v="Net Banking"/>
  </r>
  <r>
    <s v="ORD-00521"/>
    <x v="116"/>
    <s v="CUST-0074"/>
    <s v="Customer 0074"/>
    <s v="Consumer"/>
    <x v="2"/>
    <s v="Uttar Pradesh"/>
    <s v="Lucknow"/>
    <x v="1"/>
    <s v="Laptops"/>
    <x v="5"/>
    <n v="3"/>
    <n v="47544.52"/>
    <n v="0.15"/>
    <n v="121238.53"/>
    <n v="4062.24"/>
    <s v="Card"/>
  </r>
  <r>
    <s v="ORD-01250"/>
    <x v="116"/>
    <s v="CUST-0177"/>
    <s v="Customer 0177"/>
    <s v="Small Business"/>
    <x v="1"/>
    <s v="Tamil Nadu"/>
    <s v="Chennai"/>
    <x v="0"/>
    <s v="Tables"/>
    <x v="0"/>
    <n v="1"/>
    <n v="11404.21"/>
    <n v="0.2"/>
    <n v="9123.3700000000008"/>
    <n v="361.13"/>
    <s v="Cash"/>
  </r>
  <r>
    <s v="ORD-00482"/>
    <x v="116"/>
    <s v="CUST-0017"/>
    <s v="Customer 0017"/>
    <s v="Consumer"/>
    <x v="2"/>
    <s v="Uttar Pradesh"/>
    <s v="Lucknow"/>
    <x v="2"/>
    <s v="Storage"/>
    <x v="2"/>
    <n v="3"/>
    <n v="765.33"/>
    <n v="0.15"/>
    <n v="1951.59"/>
    <n v="571.85"/>
    <s v="Card"/>
  </r>
  <r>
    <s v="ORD-00747"/>
    <x v="116"/>
    <s v="CUST-0174"/>
    <s v="Customer 0174"/>
    <s v="Consumer"/>
    <x v="1"/>
    <s v="Tamil Nadu"/>
    <s v="Chennai"/>
    <x v="2"/>
    <s v="Storage"/>
    <x v="2"/>
    <n v="4"/>
    <n v="727.23"/>
    <n v="0.15"/>
    <n v="2472.58"/>
    <n v="629.22"/>
    <s v="Cash"/>
  </r>
  <r>
    <s v="ORD-01297"/>
    <x v="116"/>
    <s v="CUST-0044"/>
    <s v="Customer 0044"/>
    <s v="Corporate"/>
    <x v="3"/>
    <s v="Bihar"/>
    <s v="Patna"/>
    <x v="2"/>
    <s v="Paper"/>
    <x v="6"/>
    <n v="2"/>
    <n v="435.24"/>
    <n v="0.15"/>
    <n v="739.91"/>
    <n v="139.03"/>
    <s v="Cash"/>
  </r>
  <r>
    <s v="ORD-00214"/>
    <x v="117"/>
    <s v="CUST-0284"/>
    <s v="Customer 0284"/>
    <s v="Consumer"/>
    <x v="3"/>
    <s v="Bihar"/>
    <s v="Patna"/>
    <x v="0"/>
    <s v="Tables"/>
    <x v="12"/>
    <n v="5"/>
    <n v="6373.09"/>
    <n v="0.1"/>
    <n v="28678.91"/>
    <n v="6758.62"/>
    <s v="Card"/>
  </r>
  <r>
    <s v="ORD-00974"/>
    <x v="118"/>
    <s v="CUST-0023"/>
    <s v="Customer 0023"/>
    <s v="Consumer"/>
    <x v="1"/>
    <s v="Telangana"/>
    <s v="Hyderabad"/>
    <x v="1"/>
    <s v="Phones"/>
    <x v="11"/>
    <n v="1"/>
    <n v="17573.189999999999"/>
    <n v="0"/>
    <n v="17573.189999999999"/>
    <n v="1493.81"/>
    <s v="Card"/>
  </r>
  <r>
    <s v="ORD-01334"/>
    <x v="118"/>
    <s v="CUST-0169"/>
    <s v="Customer 0169"/>
    <s v="Small Business"/>
    <x v="3"/>
    <s v="Bihar"/>
    <s v="Patna"/>
    <x v="2"/>
    <s v="Stationery"/>
    <x v="9"/>
    <n v="2"/>
    <n v="366.2"/>
    <n v="0.1"/>
    <n v="659.16"/>
    <n v="194.27"/>
    <s v="Cash"/>
  </r>
  <r>
    <s v="ORD-00894"/>
    <x v="118"/>
    <s v="CUST-0048"/>
    <s v="Customer 0048"/>
    <s v="Consumer"/>
    <x v="2"/>
    <s v="Delhi"/>
    <s v="Delhi"/>
    <x v="1"/>
    <s v="Phones"/>
    <x v="11"/>
    <n v="1"/>
    <n v="17852.349999999999"/>
    <n v="0"/>
    <n v="17852.349999999999"/>
    <n v="3784.84"/>
    <s v="Net Banking"/>
  </r>
  <r>
    <s v="ORD-00727"/>
    <x v="118"/>
    <s v="CUST-0196"/>
    <s v="Customer 0196"/>
    <s v="Small Business"/>
    <x v="1"/>
    <s v="Karnataka"/>
    <s v="Bengaluru"/>
    <x v="1"/>
    <s v="Accessories"/>
    <x v="8"/>
    <n v="3"/>
    <n v="1783.61"/>
    <n v="0.2"/>
    <n v="4280.66"/>
    <n v="554.05999999999995"/>
    <s v="UPI"/>
  </r>
  <r>
    <s v="ORD-01280"/>
    <x v="118"/>
    <s v="CUST-0279"/>
    <s v="Customer 0279"/>
    <s v="Small Business"/>
    <x v="2"/>
    <s v="Uttar Pradesh"/>
    <s v="Lucknow"/>
    <x v="2"/>
    <s v="Paper"/>
    <x v="6"/>
    <n v="2"/>
    <n v="468.07"/>
    <n v="0"/>
    <n v="936.14"/>
    <n v="173.08"/>
    <s v="Card"/>
  </r>
  <r>
    <s v="ORD-01006"/>
    <x v="119"/>
    <s v="CUST-0162"/>
    <s v="Customer 0162"/>
    <s v="Corporate"/>
    <x v="0"/>
    <s v="Gujarat"/>
    <s v="Ahmedabad"/>
    <x v="2"/>
    <s v="Storage"/>
    <x v="2"/>
    <n v="3"/>
    <n v="744.97"/>
    <n v="0.05"/>
    <n v="2123.16"/>
    <n v="347.23"/>
    <s v="Card"/>
  </r>
  <r>
    <s v="ORD-01045"/>
    <x v="119"/>
    <s v="CUST-0265"/>
    <s v="Customer 0265"/>
    <s v="Corporate"/>
    <x v="1"/>
    <s v="Tamil Nadu"/>
    <s v="Chennai"/>
    <x v="0"/>
    <s v="Storage"/>
    <x v="4"/>
    <n v="4"/>
    <n v="14464.11"/>
    <n v="0.1"/>
    <n v="52070.8"/>
    <n v="12234.19"/>
    <s v="UPI"/>
  </r>
  <r>
    <s v="ORD-01078"/>
    <x v="119"/>
    <s v="CUST-0246"/>
    <s v="Customer 0246"/>
    <s v="Consumer"/>
    <x v="2"/>
    <s v="Delhi"/>
    <s v="Delhi"/>
    <x v="0"/>
    <s v="Chairs"/>
    <x v="7"/>
    <n v="1"/>
    <n v="8530.14"/>
    <n v="0"/>
    <n v="8530.14"/>
    <n v="2277.7600000000002"/>
    <s v="Card"/>
  </r>
  <r>
    <s v="ORD-00617"/>
    <x v="119"/>
    <s v="CUST-0079"/>
    <s v="Customer 0079"/>
    <s v="Consumer"/>
    <x v="2"/>
    <s v="Uttar Pradesh"/>
    <s v="Lucknow"/>
    <x v="1"/>
    <s v="Laptops"/>
    <x v="10"/>
    <n v="2"/>
    <n v="67700.210000000006"/>
    <n v="0.05"/>
    <n v="128630.39999999999"/>
    <n v="22556.22"/>
    <s v="Net Banking"/>
  </r>
  <r>
    <s v="ORD-00538"/>
    <x v="120"/>
    <s v="CUST-0218"/>
    <s v="Customer 0218"/>
    <s v="Corporate"/>
    <x v="3"/>
    <s v="West Bengal"/>
    <s v="Kolkata"/>
    <x v="1"/>
    <s v="Phones"/>
    <x v="1"/>
    <n v="3"/>
    <n v="41026.199999999997"/>
    <n v="0.1"/>
    <n v="110770.74"/>
    <n v="12302.45"/>
    <s v="Net Banking"/>
  </r>
  <r>
    <s v="ORD-01293"/>
    <x v="120"/>
    <s v="CUST-0282"/>
    <s v="Customer 0282"/>
    <s v="Consumer"/>
    <x v="3"/>
    <s v="Bihar"/>
    <s v="Patna"/>
    <x v="1"/>
    <s v="Laptops"/>
    <x v="10"/>
    <n v="1"/>
    <n v="67712.47"/>
    <n v="0"/>
    <n v="67712.47"/>
    <n v="9772.36"/>
    <s v="UPI"/>
  </r>
  <r>
    <s v="ORD-00785"/>
    <x v="120"/>
    <s v="CUST-0191"/>
    <s v="Customer 0191"/>
    <s v="Consumer"/>
    <x v="3"/>
    <s v="Odisha"/>
    <s v="Bhubaneswar"/>
    <x v="1"/>
    <s v="Accessories"/>
    <x v="8"/>
    <n v="3"/>
    <n v="1753.49"/>
    <n v="0.05"/>
    <n v="4997.45"/>
    <n v="832.82"/>
    <s v="Net Banking"/>
  </r>
  <r>
    <s v="ORD-00654"/>
    <x v="120"/>
    <s v="CUST-0109"/>
    <s v="Customer 0109"/>
    <s v="Consumer"/>
    <x v="1"/>
    <s v="Telangana"/>
    <s v="Hyderabad"/>
    <x v="0"/>
    <s v="Chairs"/>
    <x v="7"/>
    <n v="2"/>
    <n v="8168.96"/>
    <n v="0"/>
    <n v="16337.92"/>
    <n v="2534.0500000000002"/>
    <s v="Net Banking"/>
  </r>
  <r>
    <s v="ORD-00999"/>
    <x v="121"/>
    <s v="CUST-0291"/>
    <s v="Customer 0291"/>
    <s v="Small Business"/>
    <x v="0"/>
    <s v="Gujarat"/>
    <s v="Ahmedabad"/>
    <x v="0"/>
    <s v="Chairs"/>
    <x v="7"/>
    <n v="1"/>
    <n v="8770.76"/>
    <n v="0.05"/>
    <n v="8332.2199999999993"/>
    <n v="1383.82"/>
    <s v="UPI"/>
  </r>
  <r>
    <s v="ORD-00177"/>
    <x v="121"/>
    <s v="CUST-0226"/>
    <s v="Customer 0226"/>
    <s v="Consumer"/>
    <x v="1"/>
    <s v="Telangana"/>
    <s v="Hyderabad"/>
    <x v="2"/>
    <s v="Stationery"/>
    <x v="9"/>
    <n v="1"/>
    <n v="340.36"/>
    <n v="0.15"/>
    <n v="289.31"/>
    <n v="55.9"/>
    <s v="Card"/>
  </r>
  <r>
    <s v="ORD-00029"/>
    <x v="121"/>
    <s v="CUST-0196"/>
    <s v="Customer 0196"/>
    <s v="Small Business"/>
    <x v="2"/>
    <s v="Delhi"/>
    <s v="Delhi"/>
    <x v="0"/>
    <s v="Chairs"/>
    <x v="7"/>
    <n v="1"/>
    <n v="8669.59"/>
    <n v="0.05"/>
    <n v="8236.11"/>
    <n v="1115.8"/>
    <s v="Card"/>
  </r>
  <r>
    <s v="ORD-00743"/>
    <x v="121"/>
    <s v="CUST-0112"/>
    <s v="Customer 0112"/>
    <s v="Consumer"/>
    <x v="2"/>
    <s v="Rajasthan"/>
    <s v="Jaipur"/>
    <x v="0"/>
    <s v="Chairs"/>
    <x v="7"/>
    <n v="1"/>
    <n v="8195.82"/>
    <n v="0.1"/>
    <n v="7376.24"/>
    <n v="1556.36"/>
    <s v="Cash"/>
  </r>
  <r>
    <s v="ORD-01066"/>
    <x v="122"/>
    <s v="CUST-0164"/>
    <s v="Customer 0164"/>
    <s v="Consumer"/>
    <x v="3"/>
    <s v="Bihar"/>
    <s v="Patna"/>
    <x v="2"/>
    <s v="Paper"/>
    <x v="6"/>
    <n v="1"/>
    <n v="432.37"/>
    <n v="0.05"/>
    <n v="410.75"/>
    <n v="78.83"/>
    <s v="Card"/>
  </r>
  <r>
    <s v="ORD-00636"/>
    <x v="122"/>
    <s v="CUST-0155"/>
    <s v="Customer 0155"/>
    <s v="Corporate"/>
    <x v="3"/>
    <s v="Bihar"/>
    <s v="Patna"/>
    <x v="0"/>
    <s v="Chairs"/>
    <x v="7"/>
    <n v="1"/>
    <n v="8161.57"/>
    <n v="0"/>
    <n v="8161.57"/>
    <n v="1930.69"/>
    <s v="Cash"/>
  </r>
  <r>
    <s v="ORD-01272"/>
    <x v="122"/>
    <s v="CUST-0086"/>
    <s v="Customer 0086"/>
    <s v="Consumer"/>
    <x v="1"/>
    <s v="Karnataka"/>
    <s v="Bengaluru"/>
    <x v="1"/>
    <s v="Accessories"/>
    <x v="8"/>
    <n v="2"/>
    <n v="1787.59"/>
    <n v="0.2"/>
    <n v="2860.14"/>
    <n v="241.77"/>
    <s v="Card"/>
  </r>
  <r>
    <s v="ORD-00711"/>
    <x v="123"/>
    <s v="CUST-0031"/>
    <s v="Customer 0031"/>
    <s v="Consumer"/>
    <x v="0"/>
    <s v="Maharashtra"/>
    <s v="Pune"/>
    <x v="2"/>
    <s v="Stationery"/>
    <x v="13"/>
    <n v="5"/>
    <n v="595.42999999999995"/>
    <n v="0.05"/>
    <n v="2828.29"/>
    <n v="776.83"/>
    <s v="Card"/>
  </r>
  <r>
    <s v="ORD-01151"/>
    <x v="123"/>
    <s v="CUST-0090"/>
    <s v="Customer 0090"/>
    <s v="Consumer"/>
    <x v="1"/>
    <s v="Karnataka"/>
    <s v="Bengaluru"/>
    <x v="1"/>
    <s v="Phones"/>
    <x v="11"/>
    <n v="1"/>
    <n v="17263.509999999998"/>
    <n v="0.05"/>
    <n v="16400.330000000002"/>
    <n v="1476.95"/>
    <s v="Net Banking"/>
  </r>
  <r>
    <s v="ORD-00386"/>
    <x v="123"/>
    <s v="CUST-0116"/>
    <s v="Customer 0116"/>
    <s v="Corporate"/>
    <x v="2"/>
    <s v="Rajasthan"/>
    <s v="Jaipur"/>
    <x v="1"/>
    <s v="Accessories"/>
    <x v="8"/>
    <n v="4"/>
    <n v="1858.38"/>
    <n v="0.1"/>
    <n v="6690.17"/>
    <n v="814"/>
    <s v="Cash"/>
  </r>
  <r>
    <s v="ORD-00339"/>
    <x v="123"/>
    <s v="CUST-0251"/>
    <s v="Customer 0251"/>
    <s v="Consumer"/>
    <x v="2"/>
    <s v="Rajasthan"/>
    <s v="Jaipur"/>
    <x v="1"/>
    <s v="Laptops"/>
    <x v="5"/>
    <n v="1"/>
    <n v="46403.96"/>
    <n v="0"/>
    <n v="46403.96"/>
    <n v="4669.1000000000004"/>
    <s v="UPI"/>
  </r>
  <r>
    <s v="ORD-01421"/>
    <x v="123"/>
    <s v="CUST-0177"/>
    <s v="Customer 0177"/>
    <s v="Consumer"/>
    <x v="2"/>
    <s v="Rajasthan"/>
    <s v="Jaipur"/>
    <x v="0"/>
    <s v="Storage"/>
    <x v="4"/>
    <n v="3"/>
    <n v="14134.21"/>
    <n v="0.15"/>
    <n v="36042.239999999998"/>
    <n v="7472.28"/>
    <s v="Cash"/>
  </r>
  <r>
    <s v="ORD-00467"/>
    <x v="123"/>
    <s v="CUST-0001"/>
    <s v="Customer 0001"/>
    <s v="Corporate"/>
    <x v="3"/>
    <s v="Bihar"/>
    <s v="Patna"/>
    <x v="0"/>
    <s v="Tables"/>
    <x v="12"/>
    <n v="3"/>
    <n v="6577.46"/>
    <n v="0.15"/>
    <n v="16772.52"/>
    <n v="3541.33"/>
    <s v="Net Banking"/>
  </r>
  <r>
    <s v="ORD-00860"/>
    <x v="123"/>
    <s v="CUST-0293"/>
    <s v="Customer 0293"/>
    <s v="Corporate"/>
    <x v="2"/>
    <s v="Delhi"/>
    <s v="Delhi"/>
    <x v="2"/>
    <s v="Stationery"/>
    <x v="13"/>
    <n v="2"/>
    <n v="570.36"/>
    <n v="0.1"/>
    <n v="1026.6500000000001"/>
    <n v="243.63"/>
    <s v="Net Banking"/>
  </r>
  <r>
    <s v="ORD-00284"/>
    <x v="123"/>
    <s v="CUST-0194"/>
    <s v="Customer 0194"/>
    <s v="Corporate"/>
    <x v="1"/>
    <s v="Karnataka"/>
    <s v="Bengaluru"/>
    <x v="0"/>
    <s v="Tables"/>
    <x v="0"/>
    <n v="3"/>
    <n v="12505.19"/>
    <n v="0.05"/>
    <n v="35639.79"/>
    <n v="7734.65"/>
    <s v="UPI"/>
  </r>
  <r>
    <s v="ORD-00626"/>
    <x v="124"/>
    <s v="CUST-0023"/>
    <s v="Customer 0023"/>
    <s v="Consumer"/>
    <x v="1"/>
    <s v="Karnataka"/>
    <s v="Bengaluru"/>
    <x v="2"/>
    <s v="Storage"/>
    <x v="2"/>
    <n v="4"/>
    <n v="778.06"/>
    <n v="0"/>
    <n v="3112.24"/>
    <n v="485.79"/>
    <s v="Card"/>
  </r>
  <r>
    <s v="ORD-01176"/>
    <x v="124"/>
    <s v="CUST-0185"/>
    <s v="Customer 0185"/>
    <s v="Consumer"/>
    <x v="1"/>
    <s v="Telangana"/>
    <s v="Hyderabad"/>
    <x v="1"/>
    <s v="Accessories"/>
    <x v="3"/>
    <n v="5"/>
    <n v="1177.3399999999999"/>
    <n v="0.1"/>
    <n v="5298.03"/>
    <n v="597.69000000000005"/>
    <s v="UPI"/>
  </r>
  <r>
    <s v="ORD-00682"/>
    <x v="124"/>
    <s v="CUST-0152"/>
    <s v="Customer 0152"/>
    <s v="Corporate"/>
    <x v="1"/>
    <s v="Tamil Nadu"/>
    <s v="Chennai"/>
    <x v="2"/>
    <s v="Stationery"/>
    <x v="9"/>
    <n v="2"/>
    <n v="333.83"/>
    <n v="0.05"/>
    <n v="634.28"/>
    <n v="214.32"/>
    <s v="Net Banking"/>
  </r>
  <r>
    <s v="ORD-00899"/>
    <x v="124"/>
    <s v="CUST-0263"/>
    <s v="Customer 0263"/>
    <s v="Consumer"/>
    <x v="3"/>
    <s v="Odisha"/>
    <s v="Bhubaneswar"/>
    <x v="1"/>
    <s v="Phones"/>
    <x v="1"/>
    <n v="4"/>
    <n v="41483.870000000003"/>
    <n v="0.05"/>
    <n v="157638.71"/>
    <n v="30781.85"/>
    <s v="UPI"/>
  </r>
  <r>
    <s v="ORD-01142"/>
    <x v="124"/>
    <s v="CUST-0176"/>
    <s v="Customer 0176"/>
    <s v="Consumer"/>
    <x v="1"/>
    <s v="Telangana"/>
    <s v="Hyderabad"/>
    <x v="0"/>
    <s v="Tables"/>
    <x v="12"/>
    <n v="2"/>
    <n v="6805.43"/>
    <n v="0"/>
    <n v="13610.86"/>
    <n v="3647.08"/>
    <s v="Net Banking"/>
  </r>
  <r>
    <s v="ORD-00030"/>
    <x v="125"/>
    <s v="CUST-0275"/>
    <s v="Customer 0275"/>
    <s v="Consumer"/>
    <x v="1"/>
    <s v="Karnataka"/>
    <s v="Bengaluru"/>
    <x v="0"/>
    <s v="Tables"/>
    <x v="0"/>
    <n v="1"/>
    <n v="12555.18"/>
    <n v="0"/>
    <n v="12555.18"/>
    <n v="3185.96"/>
    <s v="Card"/>
  </r>
  <r>
    <s v="ORD-00438"/>
    <x v="126"/>
    <s v="CUST-0298"/>
    <s v="Customer 0298"/>
    <s v="Small Business"/>
    <x v="1"/>
    <s v="Telangana"/>
    <s v="Hyderabad"/>
    <x v="1"/>
    <s v="Accessories"/>
    <x v="3"/>
    <n v="2"/>
    <n v="1168.69"/>
    <n v="0.1"/>
    <n v="2103.64"/>
    <n v="330.54"/>
    <s v="Card"/>
  </r>
  <r>
    <s v="ORD-00154"/>
    <x v="126"/>
    <s v="CUST-0164"/>
    <s v="Customer 0164"/>
    <s v="Consumer"/>
    <x v="1"/>
    <s v="Karnataka"/>
    <s v="Bengaluru"/>
    <x v="1"/>
    <s v="Laptops"/>
    <x v="10"/>
    <n v="1"/>
    <n v="64057.48"/>
    <n v="0"/>
    <n v="64057.48"/>
    <n v="5747.19"/>
    <s v="Net Banking"/>
  </r>
  <r>
    <s v="ORD-00559"/>
    <x v="126"/>
    <s v="CUST-0163"/>
    <s v="Customer 0163"/>
    <s v="Small Business"/>
    <x v="0"/>
    <s v="Gujarat"/>
    <s v="Ahmedabad"/>
    <x v="2"/>
    <s v="Stationery"/>
    <x v="9"/>
    <n v="1"/>
    <n v="334.48"/>
    <n v="0"/>
    <n v="334.48"/>
    <n v="58.22"/>
    <s v="Net Banking"/>
  </r>
  <r>
    <s v="ORD-00575"/>
    <x v="126"/>
    <s v="CUST-0216"/>
    <s v="Customer 0216"/>
    <s v="Small Business"/>
    <x v="3"/>
    <s v="West Bengal"/>
    <s v="Kolkata"/>
    <x v="1"/>
    <s v="Phones"/>
    <x v="1"/>
    <n v="1"/>
    <n v="44028.01"/>
    <n v="0.05"/>
    <n v="41826.61"/>
    <n v="6015.63"/>
    <s v="Net Banking"/>
  </r>
  <r>
    <s v="ORD-00739"/>
    <x v="127"/>
    <s v="CUST-0200"/>
    <s v="Customer 0200"/>
    <s v="Consumer"/>
    <x v="0"/>
    <s v="Maharashtra"/>
    <s v="Mumbai"/>
    <x v="0"/>
    <s v="Storage"/>
    <x v="4"/>
    <n v="2"/>
    <n v="14861.51"/>
    <n v="0.1"/>
    <n v="26750.720000000001"/>
    <n v="7022.37"/>
    <s v="Cash"/>
  </r>
  <r>
    <s v="ORD-00096"/>
    <x v="127"/>
    <s v="CUST-0073"/>
    <s v="Customer 0073"/>
    <s v="Consumer"/>
    <x v="1"/>
    <s v="Tamil Nadu"/>
    <s v="Chennai"/>
    <x v="1"/>
    <s v="Laptops"/>
    <x v="5"/>
    <n v="3"/>
    <n v="48904.33"/>
    <n v="0.05"/>
    <n v="139377.34"/>
    <n v="18508.73"/>
    <s v="Card"/>
  </r>
  <r>
    <s v="ORD-00900"/>
    <x v="127"/>
    <s v="CUST-0117"/>
    <s v="Customer 0117"/>
    <s v="Corporate"/>
    <x v="1"/>
    <s v="Karnataka"/>
    <s v="Bengaluru"/>
    <x v="2"/>
    <s v="Stationery"/>
    <x v="9"/>
    <n v="3"/>
    <n v="356.79"/>
    <n v="0.05"/>
    <n v="1016.85"/>
    <n v="321.26"/>
    <s v="Card"/>
  </r>
  <r>
    <s v="ORD-00207"/>
    <x v="127"/>
    <s v="CUST-0060"/>
    <s v="Customer 0060"/>
    <s v="Consumer"/>
    <x v="3"/>
    <s v="Odisha"/>
    <s v="Bhubaneswar"/>
    <x v="1"/>
    <s v="Phones"/>
    <x v="1"/>
    <n v="2"/>
    <n v="41828.910000000003"/>
    <n v="0.15"/>
    <n v="71109.149999999994"/>
    <n v="6866.21"/>
    <s v="Net Banking"/>
  </r>
  <r>
    <s v="ORD-01039"/>
    <x v="127"/>
    <s v="CUST-0271"/>
    <s v="Customer 0271"/>
    <s v="Consumer"/>
    <x v="2"/>
    <s v="Rajasthan"/>
    <s v="Jaipur"/>
    <x v="1"/>
    <s v="Accessories"/>
    <x v="8"/>
    <n v="3"/>
    <n v="1746.44"/>
    <n v="0.15"/>
    <n v="4453.42"/>
    <n v="803.51"/>
    <s v="UPI"/>
  </r>
  <r>
    <s v="ORD-00912"/>
    <x v="128"/>
    <s v="CUST-0266"/>
    <s v="Customer 0266"/>
    <s v="Consumer"/>
    <x v="1"/>
    <s v="Karnataka"/>
    <s v="Bengaluru"/>
    <x v="2"/>
    <s v="Stationery"/>
    <x v="9"/>
    <n v="4"/>
    <n v="344.46"/>
    <n v="0.1"/>
    <n v="1240.06"/>
    <n v="342.56"/>
    <s v="Net Banking"/>
  </r>
  <r>
    <s v="ORD-00141"/>
    <x v="128"/>
    <s v="CUST-0089"/>
    <s v="Customer 0089"/>
    <s v="Small Business"/>
    <x v="1"/>
    <s v="Karnataka"/>
    <s v="Bengaluru"/>
    <x v="0"/>
    <s v="Tables"/>
    <x v="12"/>
    <n v="3"/>
    <n v="6654.99"/>
    <n v="0.1"/>
    <n v="17968.47"/>
    <n v="4320.68"/>
    <s v="Card"/>
  </r>
  <r>
    <s v="ORD-01062"/>
    <x v="128"/>
    <s v="CUST-0247"/>
    <s v="Customer 0247"/>
    <s v="Consumer"/>
    <x v="1"/>
    <s v="Tamil Nadu"/>
    <s v="Chennai"/>
    <x v="1"/>
    <s v="Accessories"/>
    <x v="3"/>
    <n v="1"/>
    <n v="1143.73"/>
    <n v="0.15"/>
    <n v="972.17"/>
    <n v="183.22"/>
    <s v="Net Banking"/>
  </r>
  <r>
    <s v="ORD-00276"/>
    <x v="128"/>
    <s v="CUST-0076"/>
    <s v="Customer 0076"/>
    <s v="Corporate"/>
    <x v="0"/>
    <s v="Maharashtra"/>
    <s v="Mumbai"/>
    <x v="1"/>
    <s v="Phones"/>
    <x v="1"/>
    <n v="1"/>
    <n v="43655.199999999997"/>
    <n v="0.05"/>
    <n v="41472.44"/>
    <n v="8142.99"/>
    <s v="Cash"/>
  </r>
  <r>
    <s v="ORD-00051"/>
    <x v="129"/>
    <s v="CUST-0098"/>
    <s v="Customer 0098"/>
    <s v="Consumer"/>
    <x v="3"/>
    <s v="Bihar"/>
    <s v="Patna"/>
    <x v="1"/>
    <s v="Laptops"/>
    <x v="10"/>
    <n v="1"/>
    <n v="62239.83"/>
    <n v="0"/>
    <n v="62239.83"/>
    <n v="11006.49"/>
    <s v="Card"/>
  </r>
  <r>
    <s v="ORD-00767"/>
    <x v="129"/>
    <s v="CUST-0171"/>
    <s v="Customer 0171"/>
    <s v="Consumer"/>
    <x v="3"/>
    <s v="Bihar"/>
    <s v="Patna"/>
    <x v="0"/>
    <s v="Storage"/>
    <x v="4"/>
    <n v="4"/>
    <n v="13962.02"/>
    <n v="0.05"/>
    <n v="53055.68"/>
    <n v="9681.33"/>
    <s v="Cash"/>
  </r>
  <r>
    <s v="ORD-00144"/>
    <x v="129"/>
    <s v="CUST-0003"/>
    <s v="Customer 0003"/>
    <s v="Consumer"/>
    <x v="0"/>
    <s v="Maharashtra"/>
    <s v="Pune"/>
    <x v="0"/>
    <s v="Tables"/>
    <x v="12"/>
    <n v="5"/>
    <n v="6769.25"/>
    <n v="0.15"/>
    <n v="28769.31"/>
    <n v="6649.11"/>
    <s v="Card"/>
  </r>
  <r>
    <s v="ORD-00332"/>
    <x v="129"/>
    <s v="CUST-0288"/>
    <s v="Customer 0288"/>
    <s v="Consumer"/>
    <x v="3"/>
    <s v="Odisha"/>
    <s v="Bhubaneswar"/>
    <x v="2"/>
    <s v="Stationery"/>
    <x v="13"/>
    <n v="3"/>
    <n v="592.39"/>
    <n v="0.1"/>
    <n v="1599.45"/>
    <n v="518.47"/>
    <s v="Cash"/>
  </r>
  <r>
    <s v="ORD-00757"/>
    <x v="130"/>
    <s v="CUST-0232"/>
    <s v="Customer 0232"/>
    <s v="Consumer"/>
    <x v="1"/>
    <s v="Telangana"/>
    <s v="Hyderabad"/>
    <x v="2"/>
    <s v="Storage"/>
    <x v="2"/>
    <n v="1"/>
    <n v="727.36"/>
    <n v="0"/>
    <n v="727.36"/>
    <n v="110.44"/>
    <s v="Net Banking"/>
  </r>
  <r>
    <s v="ORD-00011"/>
    <x v="130"/>
    <s v="CUST-0013"/>
    <s v="Customer 0013"/>
    <s v="Consumer"/>
    <x v="0"/>
    <s v="Maharashtra"/>
    <s v="Mumbai"/>
    <x v="1"/>
    <s v="Phones"/>
    <x v="11"/>
    <n v="1"/>
    <n v="18773.46"/>
    <n v="0"/>
    <n v="18773.46"/>
    <n v="3625.85"/>
    <s v="Net Banking"/>
  </r>
  <r>
    <s v="ORD-00309"/>
    <x v="130"/>
    <s v="CUST-0087"/>
    <s v="Customer 0087"/>
    <s v="Consumer"/>
    <x v="0"/>
    <s v="Maharashtra"/>
    <s v="Mumbai"/>
    <x v="1"/>
    <s v="Accessories"/>
    <x v="3"/>
    <n v="3"/>
    <n v="1154.1099999999999"/>
    <n v="0"/>
    <n v="3462.33"/>
    <n v="357.1"/>
    <s v="Net Banking"/>
  </r>
  <r>
    <s v="ORD-01301"/>
    <x v="130"/>
    <s v="CUST-0071"/>
    <s v="Customer 0071"/>
    <s v="Consumer"/>
    <x v="0"/>
    <s v="Maharashtra"/>
    <s v="Pune"/>
    <x v="1"/>
    <s v="Phones"/>
    <x v="1"/>
    <n v="3"/>
    <n v="43560.639999999999"/>
    <n v="0.1"/>
    <n v="117613.73"/>
    <n v="7600.99"/>
    <s v="Card"/>
  </r>
  <r>
    <s v="ORD-00941"/>
    <x v="130"/>
    <s v="CUST-0201"/>
    <s v="Customer 0201"/>
    <s v="Consumer"/>
    <x v="2"/>
    <s v="Delhi"/>
    <s v="Delhi"/>
    <x v="0"/>
    <s v="Tables"/>
    <x v="12"/>
    <n v="3"/>
    <n v="6651"/>
    <n v="0.1"/>
    <n v="17957.7"/>
    <n v="2628.15"/>
    <s v="UPI"/>
  </r>
  <r>
    <s v="ORD-00422"/>
    <x v="130"/>
    <s v="CUST-0012"/>
    <s v="Customer 0012"/>
    <s v="Small Business"/>
    <x v="3"/>
    <s v="Odisha"/>
    <s v="Bhubaneswar"/>
    <x v="0"/>
    <s v="Tables"/>
    <x v="0"/>
    <n v="3"/>
    <n v="12216.67"/>
    <n v="0.15"/>
    <n v="31152.51"/>
    <n v="4029.75"/>
    <s v="Cash"/>
  </r>
  <r>
    <s v="ORD-00443"/>
    <x v="130"/>
    <s v="CUST-0191"/>
    <s v="Customer 0191"/>
    <s v="Small Business"/>
    <x v="3"/>
    <s v="Odisha"/>
    <s v="Bhubaneswar"/>
    <x v="1"/>
    <s v="Laptops"/>
    <x v="10"/>
    <n v="4"/>
    <n v="63529.04"/>
    <n v="0.15"/>
    <n v="215998.74"/>
    <n v="40823.339999999997"/>
    <s v="UPI"/>
  </r>
  <r>
    <s v="ORD-00523"/>
    <x v="130"/>
    <s v="CUST-0093"/>
    <s v="Customer 0093"/>
    <s v="Consumer"/>
    <x v="3"/>
    <s v="Bihar"/>
    <s v="Patna"/>
    <x v="2"/>
    <s v="Storage"/>
    <x v="2"/>
    <n v="2"/>
    <n v="721.92"/>
    <n v="0.1"/>
    <n v="1299.46"/>
    <n v="249.47"/>
    <s v="Cash"/>
  </r>
  <r>
    <s v="ORD-01363"/>
    <x v="130"/>
    <s v="CUST-0098"/>
    <s v="Customer 0098"/>
    <s v="Corporate"/>
    <x v="1"/>
    <s v="Tamil Nadu"/>
    <s v="Chennai"/>
    <x v="1"/>
    <s v="Laptops"/>
    <x v="10"/>
    <n v="1"/>
    <n v="62143.59"/>
    <n v="0.05"/>
    <n v="59036.41"/>
    <n v="9685.34"/>
    <s v="Net Banking"/>
  </r>
  <r>
    <s v="ORD-01388"/>
    <x v="130"/>
    <s v="CUST-0040"/>
    <s v="Customer 0040"/>
    <s v="Consumer"/>
    <x v="1"/>
    <s v="Telangana"/>
    <s v="Hyderabad"/>
    <x v="2"/>
    <s v="Stationery"/>
    <x v="9"/>
    <n v="3"/>
    <n v="333.84"/>
    <n v="0"/>
    <n v="1001.52"/>
    <n v="236.32"/>
    <s v="Net Banking"/>
  </r>
  <r>
    <s v="ORD-00784"/>
    <x v="130"/>
    <s v="CUST-0253"/>
    <s v="Customer 0253"/>
    <s v="Small Business"/>
    <x v="0"/>
    <s v="Maharashtra"/>
    <s v="Mumbai"/>
    <x v="2"/>
    <s v="Stationery"/>
    <x v="13"/>
    <n v="2"/>
    <n v="577.22"/>
    <n v="0.05"/>
    <n v="1096.72"/>
    <n v="304.5"/>
    <s v="Card"/>
  </r>
  <r>
    <s v="ORD-00486"/>
    <x v="131"/>
    <s v="CUST-0240"/>
    <s v="Customer 0240"/>
    <s v="Consumer"/>
    <x v="2"/>
    <s v="Delhi"/>
    <s v="Delhi"/>
    <x v="0"/>
    <s v="Storage"/>
    <x v="4"/>
    <n v="1"/>
    <n v="14278.15"/>
    <n v="0.1"/>
    <n v="12850.33"/>
    <n v="3035.15"/>
    <s v="UPI"/>
  </r>
  <r>
    <s v="ORD-00261"/>
    <x v="131"/>
    <s v="CUST-0033"/>
    <s v="Customer 0033"/>
    <s v="Corporate"/>
    <x v="1"/>
    <s v="Karnataka"/>
    <s v="Bengaluru"/>
    <x v="0"/>
    <s v="Tables"/>
    <x v="12"/>
    <n v="1"/>
    <n v="6545.92"/>
    <n v="0.1"/>
    <n v="5891.33"/>
    <n v="1085.8900000000001"/>
    <s v="Net Banking"/>
  </r>
  <r>
    <s v="ORD-01322"/>
    <x v="132"/>
    <s v="CUST-0158"/>
    <s v="Customer 0158"/>
    <s v="Consumer"/>
    <x v="2"/>
    <s v="Delhi"/>
    <s v="Delhi"/>
    <x v="0"/>
    <s v="Tables"/>
    <x v="0"/>
    <n v="1"/>
    <n v="11546.46"/>
    <n v="0.15"/>
    <n v="9814.49"/>
    <n v="1249.99"/>
    <s v="Cash"/>
  </r>
  <r>
    <s v="ORD-01398"/>
    <x v="132"/>
    <s v="CUST-0184"/>
    <s v="Customer 0184"/>
    <s v="Consumer"/>
    <x v="1"/>
    <s v="Telangana"/>
    <s v="Hyderabad"/>
    <x v="1"/>
    <s v="Laptops"/>
    <x v="5"/>
    <n v="1"/>
    <n v="48909.81"/>
    <n v="0.05"/>
    <n v="46464.32"/>
    <n v="8825.93"/>
    <s v="Cash"/>
  </r>
  <r>
    <s v="ORD-00884"/>
    <x v="132"/>
    <s v="CUST-0024"/>
    <s v="Customer 0024"/>
    <s v="Consumer"/>
    <x v="1"/>
    <s v="Tamil Nadu"/>
    <s v="Chennai"/>
    <x v="1"/>
    <s v="Accessories"/>
    <x v="3"/>
    <n v="1"/>
    <n v="1163.98"/>
    <n v="0.05"/>
    <n v="1105.78"/>
    <n v="107.8"/>
    <s v="UPI"/>
  </r>
  <r>
    <s v="ORD-00965"/>
    <x v="132"/>
    <s v="CUST-0267"/>
    <s v="Customer 0267"/>
    <s v="Corporate"/>
    <x v="0"/>
    <s v="Maharashtra"/>
    <s v="Mumbai"/>
    <x v="0"/>
    <s v="Tables"/>
    <x v="0"/>
    <n v="2"/>
    <n v="11915.19"/>
    <n v="0.1"/>
    <n v="21447.34"/>
    <n v="5350.39"/>
    <s v="Cash"/>
  </r>
  <r>
    <s v="ORD-00319"/>
    <x v="132"/>
    <s v="CUST-0062"/>
    <s v="Customer 0062"/>
    <s v="Small Business"/>
    <x v="2"/>
    <s v="Uttar Pradesh"/>
    <s v="Lucknow"/>
    <x v="1"/>
    <s v="Laptops"/>
    <x v="5"/>
    <n v="2"/>
    <n v="46057.78"/>
    <n v="0.1"/>
    <n v="82904"/>
    <n v="6905.78"/>
    <s v="UPI"/>
  </r>
  <r>
    <s v="ORD-00731"/>
    <x v="132"/>
    <s v="CUST-0001"/>
    <s v="Customer 0001"/>
    <s v="Consumer"/>
    <x v="0"/>
    <s v="Gujarat"/>
    <s v="Ahmedabad"/>
    <x v="1"/>
    <s v="Laptops"/>
    <x v="10"/>
    <n v="5"/>
    <n v="67276.12"/>
    <n v="0"/>
    <n v="336380.6"/>
    <n v="73889.89"/>
    <s v="Cash"/>
  </r>
  <r>
    <s v="ORD-00797"/>
    <x v="133"/>
    <s v="CUST-0203"/>
    <s v="Customer 0203"/>
    <s v="Consumer"/>
    <x v="3"/>
    <s v="Odisha"/>
    <s v="Bhubaneswar"/>
    <x v="2"/>
    <s v="Paper"/>
    <x v="6"/>
    <n v="2"/>
    <n v="460.9"/>
    <n v="0.1"/>
    <n v="829.62"/>
    <n v="191.96"/>
    <s v="UPI"/>
  </r>
  <r>
    <s v="ORD-01088"/>
    <x v="133"/>
    <s v="CUST-0150"/>
    <s v="Customer 0150"/>
    <s v="Small Business"/>
    <x v="1"/>
    <s v="Tamil Nadu"/>
    <s v="Chennai"/>
    <x v="1"/>
    <s v="Phones"/>
    <x v="1"/>
    <n v="2"/>
    <n v="43483.21"/>
    <n v="0"/>
    <n v="86966.42"/>
    <n v="10050.27"/>
    <s v="UPI"/>
  </r>
  <r>
    <s v="ORD-01351"/>
    <x v="133"/>
    <s v="CUST-0204"/>
    <s v="Customer 0204"/>
    <s v="Small Business"/>
    <x v="2"/>
    <s v="Uttar Pradesh"/>
    <s v="Lucknow"/>
    <x v="2"/>
    <s v="Storage"/>
    <x v="2"/>
    <n v="4"/>
    <n v="731.58"/>
    <n v="0.15"/>
    <n v="2487.37"/>
    <n v="695.34"/>
    <s v="Cash"/>
  </r>
  <r>
    <s v="ORD-01058"/>
    <x v="133"/>
    <s v="CUST-0096"/>
    <s v="Customer 0096"/>
    <s v="Consumer"/>
    <x v="2"/>
    <s v="Delhi"/>
    <s v="Delhi"/>
    <x v="1"/>
    <s v="Accessories"/>
    <x v="8"/>
    <n v="4"/>
    <n v="1767.05"/>
    <n v="0.15"/>
    <n v="6007.97"/>
    <n v="925.95"/>
    <s v="UPI"/>
  </r>
  <r>
    <s v="ORD-00065"/>
    <x v="133"/>
    <s v="CUST-0198"/>
    <s v="Customer 0198"/>
    <s v="Consumer"/>
    <x v="2"/>
    <s v="Rajasthan"/>
    <s v="Jaipur"/>
    <x v="1"/>
    <s v="Accessories"/>
    <x v="3"/>
    <n v="2"/>
    <n v="1150.55"/>
    <n v="0.15"/>
    <n v="1955.93"/>
    <n v="343.72"/>
    <s v="Cash"/>
  </r>
  <r>
    <s v="ORD-01357"/>
    <x v="133"/>
    <s v="CUST-0168"/>
    <s v="Customer 0168"/>
    <s v="Consumer"/>
    <x v="1"/>
    <s v="Karnataka"/>
    <s v="Bengaluru"/>
    <x v="1"/>
    <s v="Accessories"/>
    <x v="8"/>
    <n v="4"/>
    <n v="1710.04"/>
    <n v="0.1"/>
    <n v="6156.14"/>
    <n v="1074.31"/>
    <s v="Cash"/>
  </r>
  <r>
    <s v="ORD-01401"/>
    <x v="133"/>
    <s v="CUST-0244"/>
    <s v="Customer 0244"/>
    <s v="Consumer"/>
    <x v="3"/>
    <s v="Bihar"/>
    <s v="Patna"/>
    <x v="1"/>
    <s v="Accessories"/>
    <x v="3"/>
    <n v="1"/>
    <n v="1232.75"/>
    <n v="0.1"/>
    <n v="1109.48"/>
    <n v="160.47"/>
    <s v="UPI"/>
  </r>
  <r>
    <s v="ORD-01492"/>
    <x v="133"/>
    <s v="CUST-0012"/>
    <s v="Customer 0012"/>
    <s v="Corporate"/>
    <x v="0"/>
    <s v="Gujarat"/>
    <s v="Ahmedabad"/>
    <x v="2"/>
    <s v="Storage"/>
    <x v="2"/>
    <n v="1"/>
    <n v="766.7"/>
    <n v="0.1"/>
    <n v="690.03"/>
    <n v="182.23"/>
    <s v="Net Banking"/>
  </r>
  <r>
    <s v="ORD-00302"/>
    <x v="133"/>
    <s v="CUST-0209"/>
    <s v="Customer 0209"/>
    <s v="Small Business"/>
    <x v="1"/>
    <s v="Tamil Nadu"/>
    <s v="Chennai"/>
    <x v="2"/>
    <s v="Paper"/>
    <x v="6"/>
    <n v="2"/>
    <n v="439.6"/>
    <n v="0.1"/>
    <n v="791.28"/>
    <n v="151.38"/>
    <s v="Card"/>
  </r>
  <r>
    <s v="ORD-00579"/>
    <x v="133"/>
    <s v="CUST-0205"/>
    <s v="Customer 0205"/>
    <s v="Small Business"/>
    <x v="0"/>
    <s v="Maharashtra"/>
    <s v="Pune"/>
    <x v="1"/>
    <s v="Phones"/>
    <x v="11"/>
    <n v="4"/>
    <n v="17263.3"/>
    <n v="0"/>
    <n v="69053.2"/>
    <n v="8063.85"/>
    <s v="Net Banking"/>
  </r>
  <r>
    <s v="ORD-00643"/>
    <x v="134"/>
    <s v="CUST-0075"/>
    <s v="Customer 0075"/>
    <s v="Small Business"/>
    <x v="0"/>
    <s v="Maharashtra"/>
    <s v="Pune"/>
    <x v="0"/>
    <s v="Storage"/>
    <x v="4"/>
    <n v="1"/>
    <n v="13798.38"/>
    <n v="0.1"/>
    <n v="12418.54"/>
    <n v="1997.3"/>
    <s v="Cash"/>
  </r>
  <r>
    <s v="ORD-01245"/>
    <x v="134"/>
    <s v="CUST-0025"/>
    <s v="Customer 0025"/>
    <s v="Corporate"/>
    <x v="3"/>
    <s v="Bihar"/>
    <s v="Patna"/>
    <x v="1"/>
    <s v="Accessories"/>
    <x v="3"/>
    <n v="3"/>
    <n v="1246.81"/>
    <n v="0.15"/>
    <n v="3179.37"/>
    <n v="337.32"/>
    <s v="Net Banking"/>
  </r>
  <r>
    <s v="ORD-00531"/>
    <x v="134"/>
    <s v="CUST-0114"/>
    <s v="Customer 0114"/>
    <s v="Consumer"/>
    <x v="0"/>
    <s v="Maharashtra"/>
    <s v="Mumbai"/>
    <x v="1"/>
    <s v="Accessories"/>
    <x v="8"/>
    <n v="1"/>
    <n v="1724.66"/>
    <n v="0.1"/>
    <n v="1552.19"/>
    <n v="191.83"/>
    <s v="Cash"/>
  </r>
  <r>
    <s v="ORD-01405"/>
    <x v="135"/>
    <s v="CUST-0256"/>
    <s v="Customer 0256"/>
    <s v="Consumer"/>
    <x v="0"/>
    <s v="Maharashtra"/>
    <s v="Pune"/>
    <x v="2"/>
    <s v="Stationery"/>
    <x v="9"/>
    <n v="5"/>
    <n v="337.42"/>
    <n v="0.1"/>
    <n v="1518.39"/>
    <n v="260.99"/>
    <s v="Cash"/>
  </r>
  <r>
    <s v="ORD-01298"/>
    <x v="136"/>
    <s v="CUST-0243"/>
    <s v="Customer 0243"/>
    <s v="Consumer"/>
    <x v="2"/>
    <s v="Delhi"/>
    <s v="Delhi"/>
    <x v="0"/>
    <s v="Tables"/>
    <x v="0"/>
    <n v="1"/>
    <n v="11786.27"/>
    <n v="0.1"/>
    <n v="10607.64"/>
    <n v="1700.46"/>
    <s v="Net Banking"/>
  </r>
  <r>
    <s v="ORD-00833"/>
    <x v="136"/>
    <s v="CUST-0132"/>
    <s v="Customer 0132"/>
    <s v="Consumer"/>
    <x v="3"/>
    <s v="West Bengal"/>
    <s v="Kolkata"/>
    <x v="1"/>
    <s v="Accessories"/>
    <x v="3"/>
    <n v="2"/>
    <n v="1192.81"/>
    <n v="0.05"/>
    <n v="2266.34"/>
    <n v="178.53"/>
    <s v="UPI"/>
  </r>
  <r>
    <s v="ORD-01377"/>
    <x v="137"/>
    <s v="CUST-0115"/>
    <s v="Customer 0115"/>
    <s v="Consumer"/>
    <x v="3"/>
    <s v="West Bengal"/>
    <s v="Kolkata"/>
    <x v="1"/>
    <s v="Laptops"/>
    <x v="10"/>
    <n v="1"/>
    <n v="66545.929999999993"/>
    <n v="0.1"/>
    <n v="59891.34"/>
    <n v="8170.86"/>
    <s v="Cash"/>
  </r>
  <r>
    <s v="ORD-00855"/>
    <x v="137"/>
    <s v="CUST-0175"/>
    <s v="Customer 0175"/>
    <s v="Consumer"/>
    <x v="2"/>
    <s v="Delhi"/>
    <s v="Delhi"/>
    <x v="2"/>
    <s v="Storage"/>
    <x v="2"/>
    <n v="4"/>
    <n v="724.04"/>
    <n v="0.1"/>
    <n v="2606.54"/>
    <n v="718.92"/>
    <s v="Card"/>
  </r>
  <r>
    <s v="ORD-00668"/>
    <x v="137"/>
    <s v="CUST-0058"/>
    <s v="Customer 0058"/>
    <s v="Corporate"/>
    <x v="1"/>
    <s v="Tamil Nadu"/>
    <s v="Chennai"/>
    <x v="2"/>
    <s v="Storage"/>
    <x v="2"/>
    <n v="2"/>
    <n v="717.93"/>
    <n v="0"/>
    <n v="1435.86"/>
    <n v="298.76"/>
    <s v="Card"/>
  </r>
  <r>
    <s v="ORD-00935"/>
    <x v="138"/>
    <s v="CUST-0040"/>
    <s v="Customer 0040"/>
    <s v="Consumer"/>
    <x v="1"/>
    <s v="Telangana"/>
    <s v="Hyderabad"/>
    <x v="1"/>
    <s v="Phones"/>
    <x v="1"/>
    <n v="1"/>
    <n v="40768.39"/>
    <n v="0.05"/>
    <n v="38729.97"/>
    <n v="3742.34"/>
    <s v="Card"/>
  </r>
  <r>
    <s v="ORD-01330"/>
    <x v="138"/>
    <s v="CUST-0153"/>
    <s v="Customer 0153"/>
    <s v="Corporate"/>
    <x v="2"/>
    <s v="Uttar Pradesh"/>
    <s v="Lucknow"/>
    <x v="2"/>
    <s v="Stationery"/>
    <x v="9"/>
    <n v="3"/>
    <n v="362.32"/>
    <n v="0.15"/>
    <n v="923.92"/>
    <n v="282.88"/>
    <s v="Card"/>
  </r>
  <r>
    <s v="ORD-00195"/>
    <x v="138"/>
    <s v="CUST-0160"/>
    <s v="Customer 0160"/>
    <s v="Corporate"/>
    <x v="3"/>
    <s v="Odisha"/>
    <s v="Bhubaneswar"/>
    <x v="1"/>
    <s v="Laptops"/>
    <x v="5"/>
    <n v="5"/>
    <n v="50096.75"/>
    <n v="0.1"/>
    <n v="225435.38"/>
    <n v="15069.51"/>
    <s v="UPI"/>
  </r>
  <r>
    <s v="ORD-01478"/>
    <x v="138"/>
    <s v="CUST-0216"/>
    <s v="Customer 0216"/>
    <s v="Consumer"/>
    <x v="0"/>
    <s v="Maharashtra"/>
    <s v="Pune"/>
    <x v="0"/>
    <s v="Tables"/>
    <x v="12"/>
    <n v="1"/>
    <n v="6430.88"/>
    <n v="0.1"/>
    <n v="5787.79"/>
    <n v="888.67"/>
    <s v="UPI"/>
  </r>
  <r>
    <s v="ORD-01008"/>
    <x v="138"/>
    <s v="CUST-0266"/>
    <s v="Customer 0266"/>
    <s v="Small Business"/>
    <x v="1"/>
    <s v="Telangana"/>
    <s v="Hyderabad"/>
    <x v="0"/>
    <s v="Tables"/>
    <x v="12"/>
    <n v="2"/>
    <n v="6415.71"/>
    <n v="0.05"/>
    <n v="12189.85"/>
    <n v="1361.46"/>
    <s v="UPI"/>
  </r>
  <r>
    <s v="ORD-01201"/>
    <x v="139"/>
    <s v="CUST-0036"/>
    <s v="Customer 0036"/>
    <s v="Corporate"/>
    <x v="0"/>
    <s v="Maharashtra"/>
    <s v="Pune"/>
    <x v="1"/>
    <s v="Phones"/>
    <x v="11"/>
    <n v="1"/>
    <n v="17640.95"/>
    <n v="0.15"/>
    <n v="14994.81"/>
    <n v="1161.5999999999999"/>
    <s v="Card"/>
  </r>
  <r>
    <s v="ORD-01437"/>
    <x v="139"/>
    <s v="CUST-0196"/>
    <s v="Customer 0196"/>
    <s v="Consumer"/>
    <x v="2"/>
    <s v="Rajasthan"/>
    <s v="Jaipur"/>
    <x v="1"/>
    <s v="Laptops"/>
    <x v="10"/>
    <n v="2"/>
    <n v="67878.240000000005"/>
    <n v="0"/>
    <n v="135756.48000000001"/>
    <n v="16389.47"/>
    <s v="UPI"/>
  </r>
  <r>
    <s v="ORD-01434"/>
    <x v="139"/>
    <s v="CUST-0296"/>
    <s v="Customer 0296"/>
    <s v="Corporate"/>
    <x v="1"/>
    <s v="Telangana"/>
    <s v="Hyderabad"/>
    <x v="0"/>
    <s v="Chairs"/>
    <x v="7"/>
    <n v="1"/>
    <n v="8658.2999999999993"/>
    <n v="0.2"/>
    <n v="6926.64"/>
    <n v="67.709999999999994"/>
    <s v="Net Banking"/>
  </r>
  <r>
    <s v="ORD-00821"/>
    <x v="139"/>
    <s v="CUST-0026"/>
    <s v="Customer 0026"/>
    <s v="Consumer"/>
    <x v="2"/>
    <s v="Rajasthan"/>
    <s v="Jaipur"/>
    <x v="0"/>
    <s v="Chairs"/>
    <x v="7"/>
    <n v="3"/>
    <n v="8407.92"/>
    <n v="0.1"/>
    <n v="22701.38"/>
    <n v="4206.3500000000004"/>
    <s v="UPI"/>
  </r>
  <r>
    <s v="ORD-00495"/>
    <x v="139"/>
    <s v="CUST-0181"/>
    <s v="Customer 0181"/>
    <s v="Consumer"/>
    <x v="3"/>
    <s v="West Bengal"/>
    <s v="Kolkata"/>
    <x v="0"/>
    <s v="Tables"/>
    <x v="12"/>
    <n v="4"/>
    <n v="6610.34"/>
    <n v="0.05"/>
    <n v="25119.29"/>
    <n v="4412.32"/>
    <s v="Net Banking"/>
  </r>
  <r>
    <s v="ORD-00046"/>
    <x v="139"/>
    <s v="CUST-0203"/>
    <s v="Customer 0203"/>
    <s v="Small Business"/>
    <x v="1"/>
    <s v="Tamil Nadu"/>
    <s v="Chennai"/>
    <x v="1"/>
    <s v="Accessories"/>
    <x v="3"/>
    <n v="1"/>
    <n v="1149.05"/>
    <n v="0.1"/>
    <n v="1034.1400000000001"/>
    <n v="90.85"/>
    <s v="Cash"/>
  </r>
  <r>
    <s v="ORD-00612"/>
    <x v="139"/>
    <s v="CUST-0292"/>
    <s v="Customer 0292"/>
    <s v="Small Business"/>
    <x v="1"/>
    <s v="Karnataka"/>
    <s v="Bengaluru"/>
    <x v="0"/>
    <s v="Tables"/>
    <x v="12"/>
    <n v="4"/>
    <n v="6584.13"/>
    <n v="0.1"/>
    <n v="23702.87"/>
    <n v="3107.12"/>
    <s v="Cash"/>
  </r>
  <r>
    <s v="ORD-00388"/>
    <x v="140"/>
    <s v="CUST-0095"/>
    <s v="Customer 0095"/>
    <s v="Consumer"/>
    <x v="1"/>
    <s v="Telangana"/>
    <s v="Hyderabad"/>
    <x v="1"/>
    <s v="Phones"/>
    <x v="1"/>
    <n v="2"/>
    <n v="41695.440000000002"/>
    <n v="0.05"/>
    <n v="79221.34"/>
    <n v="9046.0400000000009"/>
    <s v="Net Banking"/>
  </r>
  <r>
    <s v="ORD-00718"/>
    <x v="140"/>
    <s v="CUST-0244"/>
    <s v="Customer 0244"/>
    <s v="Consumer"/>
    <x v="1"/>
    <s v="Telangana"/>
    <s v="Hyderabad"/>
    <x v="1"/>
    <s v="Laptops"/>
    <x v="10"/>
    <n v="1"/>
    <n v="64137.31"/>
    <n v="0.05"/>
    <n v="60930.44"/>
    <n v="12084.35"/>
    <s v="UPI"/>
  </r>
  <r>
    <s v="ORD-00198"/>
    <x v="140"/>
    <s v="CUST-0198"/>
    <s v="Customer 0198"/>
    <s v="Small Business"/>
    <x v="0"/>
    <s v="Maharashtra"/>
    <s v="Pune"/>
    <x v="0"/>
    <s v="Storage"/>
    <x v="4"/>
    <n v="2"/>
    <n v="14738.07"/>
    <n v="0"/>
    <n v="29476.14"/>
    <n v="4556.26"/>
    <s v="Net Banking"/>
  </r>
  <r>
    <s v="ORD-01034"/>
    <x v="140"/>
    <s v="CUST-0123"/>
    <s v="Customer 0123"/>
    <s v="Small Business"/>
    <x v="1"/>
    <s v="Tamil Nadu"/>
    <s v="Chennai"/>
    <x v="2"/>
    <s v="Paper"/>
    <x v="6"/>
    <n v="1"/>
    <n v="451.1"/>
    <n v="0.1"/>
    <n v="405.99"/>
    <n v="130.88"/>
    <s v="UPI"/>
  </r>
  <r>
    <s v="ORD-00314"/>
    <x v="140"/>
    <s v="CUST-0017"/>
    <s v="Customer 0017"/>
    <s v="Small Business"/>
    <x v="1"/>
    <s v="Karnataka"/>
    <s v="Bengaluru"/>
    <x v="0"/>
    <s v="Storage"/>
    <x v="4"/>
    <n v="3"/>
    <n v="15059.15"/>
    <n v="0.05"/>
    <n v="42918.58"/>
    <n v="6076.03"/>
    <s v="UPI"/>
  </r>
  <r>
    <s v="ORD-00083"/>
    <x v="140"/>
    <s v="CUST-0215"/>
    <s v="Customer 0215"/>
    <s v="Consumer"/>
    <x v="0"/>
    <s v="Maharashtra"/>
    <s v="Mumbai"/>
    <x v="0"/>
    <s v="Storage"/>
    <x v="4"/>
    <n v="3"/>
    <n v="14453.94"/>
    <n v="0.05"/>
    <n v="41193.730000000003"/>
    <n v="8661.99"/>
    <s v="Net Banking"/>
  </r>
  <r>
    <s v="ORD-01496"/>
    <x v="141"/>
    <s v="CUST-0292"/>
    <s v="Customer 0292"/>
    <s v="Consumer"/>
    <x v="0"/>
    <s v="Maharashtra"/>
    <s v="Pune"/>
    <x v="0"/>
    <s v="Tables"/>
    <x v="12"/>
    <n v="5"/>
    <n v="6635.19"/>
    <n v="0.15"/>
    <n v="28199.56"/>
    <n v="2281.46"/>
    <s v="Net Banking"/>
  </r>
  <r>
    <s v="ORD-00246"/>
    <x v="141"/>
    <s v="CUST-0188"/>
    <s v="Customer 0188"/>
    <s v="Corporate"/>
    <x v="1"/>
    <s v="Telangana"/>
    <s v="Hyderabad"/>
    <x v="0"/>
    <s v="Storage"/>
    <x v="4"/>
    <n v="3"/>
    <n v="13921.36"/>
    <n v="0"/>
    <n v="41764.080000000002"/>
    <n v="10818.19"/>
    <s v="Cash"/>
  </r>
  <r>
    <s v="ORD-01231"/>
    <x v="141"/>
    <s v="CUST-0165"/>
    <s v="Customer 0165"/>
    <s v="Consumer"/>
    <x v="1"/>
    <s v="Karnataka"/>
    <s v="Bengaluru"/>
    <x v="2"/>
    <s v="Storage"/>
    <x v="2"/>
    <n v="2"/>
    <n v="753.43"/>
    <n v="0.15"/>
    <n v="1280.83"/>
    <n v="288.77"/>
    <s v="Cash"/>
  </r>
  <r>
    <s v="ORD-00342"/>
    <x v="141"/>
    <s v="CUST-0192"/>
    <s v="Customer 0192"/>
    <s v="Corporate"/>
    <x v="0"/>
    <s v="Maharashtra"/>
    <s v="Pune"/>
    <x v="1"/>
    <s v="Accessories"/>
    <x v="3"/>
    <n v="2"/>
    <n v="1214.8800000000001"/>
    <n v="0"/>
    <n v="2429.7600000000002"/>
    <n v="287.45999999999998"/>
    <s v="UPI"/>
  </r>
  <r>
    <s v="ORD-00139"/>
    <x v="141"/>
    <s v="CUST-0005"/>
    <s v="Customer 0005"/>
    <s v="Small Business"/>
    <x v="0"/>
    <s v="Maharashtra"/>
    <s v="Mumbai"/>
    <x v="1"/>
    <s v="Accessories"/>
    <x v="8"/>
    <n v="1"/>
    <n v="1886.15"/>
    <n v="0.1"/>
    <n v="1697.54"/>
    <n v="207.04"/>
    <s v="Card"/>
  </r>
  <r>
    <s v="ORD-00593"/>
    <x v="142"/>
    <s v="CUST-0141"/>
    <s v="Customer 0141"/>
    <s v="Small Business"/>
    <x v="3"/>
    <s v="Odisha"/>
    <s v="Bhubaneswar"/>
    <x v="0"/>
    <s v="Chairs"/>
    <x v="7"/>
    <n v="1"/>
    <n v="8249.01"/>
    <n v="0.05"/>
    <n v="7836.56"/>
    <n v="1547.91"/>
    <s v="UPI"/>
  </r>
  <r>
    <s v="ORD-00152"/>
    <x v="142"/>
    <s v="CUST-0138"/>
    <s v="Customer 0138"/>
    <s v="Consumer"/>
    <x v="2"/>
    <s v="Uttar Pradesh"/>
    <s v="Lucknow"/>
    <x v="2"/>
    <s v="Stationery"/>
    <x v="13"/>
    <n v="2"/>
    <n v="578.51"/>
    <n v="0"/>
    <n v="1157.02"/>
    <n v="237.08"/>
    <s v="Cash"/>
  </r>
  <r>
    <s v="ORD-00566"/>
    <x v="142"/>
    <s v="CUST-0154"/>
    <s v="Customer 0154"/>
    <s v="Consumer"/>
    <x v="0"/>
    <s v="Maharashtra"/>
    <s v="Mumbai"/>
    <x v="0"/>
    <s v="Chairs"/>
    <x v="7"/>
    <n v="1"/>
    <n v="8813.6200000000008"/>
    <n v="0.05"/>
    <n v="8372.94"/>
    <n v="2174.48"/>
    <s v="Cash"/>
  </r>
  <r>
    <s v="ORD-01347"/>
    <x v="142"/>
    <s v="CUST-0196"/>
    <s v="Customer 0196"/>
    <s v="Corporate"/>
    <x v="2"/>
    <s v="Delhi"/>
    <s v="Delhi"/>
    <x v="2"/>
    <s v="Paper"/>
    <x v="6"/>
    <n v="3"/>
    <n v="428.71"/>
    <n v="0.1"/>
    <n v="1157.52"/>
    <n v="360.42"/>
    <s v="UPI"/>
  </r>
  <r>
    <s v="ORD-00429"/>
    <x v="142"/>
    <s v="CUST-0065"/>
    <s v="Customer 0065"/>
    <s v="Consumer"/>
    <x v="3"/>
    <s v="West Bengal"/>
    <s v="Kolkata"/>
    <x v="0"/>
    <s v="Tables"/>
    <x v="12"/>
    <n v="1"/>
    <n v="6630.47"/>
    <n v="0.1"/>
    <n v="5967.42"/>
    <n v="1078.77"/>
    <s v="Cash"/>
  </r>
  <r>
    <s v="ORD-00702"/>
    <x v="143"/>
    <s v="CUST-0069"/>
    <s v="Customer 0069"/>
    <s v="Small Business"/>
    <x v="3"/>
    <s v="West Bengal"/>
    <s v="Kolkata"/>
    <x v="2"/>
    <s v="Stationery"/>
    <x v="9"/>
    <n v="2"/>
    <n v="355"/>
    <n v="0"/>
    <n v="710"/>
    <n v="189.95"/>
    <s v="Net Banking"/>
  </r>
  <r>
    <s v="ORD-01144"/>
    <x v="144"/>
    <s v="CUST-0161"/>
    <s v="Customer 0161"/>
    <s v="Corporate"/>
    <x v="2"/>
    <s v="Rajasthan"/>
    <s v="Jaipur"/>
    <x v="2"/>
    <s v="Storage"/>
    <x v="2"/>
    <n v="1"/>
    <n v="714.06"/>
    <n v="0"/>
    <n v="714.06"/>
    <n v="196.9"/>
    <s v="Net Banking"/>
  </r>
  <r>
    <s v="ORD-00294"/>
    <x v="144"/>
    <s v="CUST-0022"/>
    <s v="Customer 0022"/>
    <s v="Consumer"/>
    <x v="1"/>
    <s v="Tamil Nadu"/>
    <s v="Chennai"/>
    <x v="1"/>
    <s v="Accessories"/>
    <x v="8"/>
    <n v="2"/>
    <n v="1876.59"/>
    <n v="0"/>
    <n v="3753.18"/>
    <n v="336.16"/>
    <s v="Net Banking"/>
  </r>
  <r>
    <s v="ORD-00431"/>
    <x v="144"/>
    <s v="CUST-0137"/>
    <s v="Customer 0137"/>
    <s v="Corporate"/>
    <x v="0"/>
    <s v="Maharashtra"/>
    <s v="Pune"/>
    <x v="2"/>
    <s v="Stationery"/>
    <x v="13"/>
    <n v="2"/>
    <n v="600.79"/>
    <n v="0"/>
    <n v="1201.58"/>
    <n v="211.6"/>
    <s v="UPI"/>
  </r>
  <r>
    <s v="ORD-00592"/>
    <x v="145"/>
    <s v="CUST-0078"/>
    <s v="Customer 0078"/>
    <s v="Consumer"/>
    <x v="0"/>
    <s v="Maharashtra"/>
    <s v="Mumbai"/>
    <x v="0"/>
    <s v="Chairs"/>
    <x v="7"/>
    <n v="3"/>
    <n v="8708.7800000000007"/>
    <n v="0"/>
    <n v="26126.34"/>
    <n v="7297.06"/>
    <s v="Net Banking"/>
  </r>
  <r>
    <s v="ORD-00632"/>
    <x v="145"/>
    <s v="CUST-0118"/>
    <s v="Customer 0118"/>
    <s v="Consumer"/>
    <x v="3"/>
    <s v="West Bengal"/>
    <s v="Kolkata"/>
    <x v="2"/>
    <s v="Storage"/>
    <x v="2"/>
    <n v="2"/>
    <n v="712.94"/>
    <n v="0.1"/>
    <n v="1283.29"/>
    <n v="171.54"/>
    <s v="Card"/>
  </r>
  <r>
    <s v="ORD-00165"/>
    <x v="145"/>
    <s v="CUST-0130"/>
    <s v="Customer 0130"/>
    <s v="Consumer"/>
    <x v="0"/>
    <s v="Maharashtra"/>
    <s v="Pune"/>
    <x v="2"/>
    <s v="Paper"/>
    <x v="6"/>
    <n v="3"/>
    <n v="440.88"/>
    <n v="0.1"/>
    <n v="1190.3800000000001"/>
    <n v="264.02999999999997"/>
    <s v="UPI"/>
  </r>
  <r>
    <s v="ORD-00864"/>
    <x v="146"/>
    <s v="CUST-0201"/>
    <s v="Customer 0201"/>
    <s v="Corporate"/>
    <x v="1"/>
    <s v="Telangana"/>
    <s v="Hyderabad"/>
    <x v="2"/>
    <s v="Stationery"/>
    <x v="13"/>
    <n v="5"/>
    <n v="618.22"/>
    <n v="0.15"/>
    <n v="2627.44"/>
    <n v="615.65"/>
    <s v="Cash"/>
  </r>
  <r>
    <s v="ORD-00017"/>
    <x v="147"/>
    <s v="CUST-0147"/>
    <s v="Customer 0147"/>
    <s v="Consumer"/>
    <x v="0"/>
    <s v="Gujarat"/>
    <s v="Ahmedabad"/>
    <x v="1"/>
    <s v="Phones"/>
    <x v="11"/>
    <n v="1"/>
    <n v="17815.63"/>
    <n v="0.2"/>
    <n v="14252.5"/>
    <n v="1291.27"/>
    <s v="Cash"/>
  </r>
  <r>
    <s v="ORD-01237"/>
    <x v="147"/>
    <s v="CUST-0300"/>
    <s v="Customer 0300"/>
    <s v="Small Business"/>
    <x v="2"/>
    <s v="Rajasthan"/>
    <s v="Jaipur"/>
    <x v="1"/>
    <s v="Phones"/>
    <x v="11"/>
    <n v="1"/>
    <n v="17142.3"/>
    <n v="0.15"/>
    <n v="14570.95"/>
    <n v="1652.59"/>
    <s v="Net Banking"/>
  </r>
  <r>
    <s v="ORD-00496"/>
    <x v="147"/>
    <s v="CUST-0011"/>
    <s v="Customer 0011"/>
    <s v="Corporate"/>
    <x v="2"/>
    <s v="Rajasthan"/>
    <s v="Jaipur"/>
    <x v="1"/>
    <s v="Laptops"/>
    <x v="10"/>
    <n v="5"/>
    <n v="64676.800000000003"/>
    <n v="0.2"/>
    <n v="258707.20000000001"/>
    <n v="18940.669999999998"/>
    <s v="Cash"/>
  </r>
  <r>
    <s v="ORD-00288"/>
    <x v="147"/>
    <s v="CUST-0013"/>
    <s v="Customer 0013"/>
    <s v="Small Business"/>
    <x v="0"/>
    <s v="Maharashtra"/>
    <s v="Pune"/>
    <x v="0"/>
    <s v="Tables"/>
    <x v="0"/>
    <n v="3"/>
    <n v="11672.07"/>
    <n v="0.2"/>
    <n v="28012.97"/>
    <n v="5609.74"/>
    <s v="Card"/>
  </r>
  <r>
    <s v="ORD-01253"/>
    <x v="148"/>
    <s v="CUST-0163"/>
    <s v="Customer 0163"/>
    <s v="Small Business"/>
    <x v="2"/>
    <s v="Uttar Pradesh"/>
    <s v="Lucknow"/>
    <x v="1"/>
    <s v="Phones"/>
    <x v="11"/>
    <n v="2"/>
    <n v="17298.5"/>
    <n v="0"/>
    <n v="34597"/>
    <n v="4625.32"/>
    <s v="Card"/>
  </r>
  <r>
    <s v="ORD-01270"/>
    <x v="148"/>
    <s v="CUST-0186"/>
    <s v="Customer 0186"/>
    <s v="Consumer"/>
    <x v="2"/>
    <s v="Delhi"/>
    <s v="Delhi"/>
    <x v="2"/>
    <s v="Storage"/>
    <x v="2"/>
    <n v="2"/>
    <n v="752.41"/>
    <n v="0.1"/>
    <n v="1354.34"/>
    <n v="294.11"/>
    <s v="UPI"/>
  </r>
  <r>
    <s v="ORD-01381"/>
    <x v="148"/>
    <s v="CUST-0280"/>
    <s v="Customer 0280"/>
    <s v="Consumer"/>
    <x v="2"/>
    <s v="Rajasthan"/>
    <s v="Jaipur"/>
    <x v="2"/>
    <s v="Paper"/>
    <x v="6"/>
    <n v="3"/>
    <n v="444.16"/>
    <n v="0.2"/>
    <n v="1065.98"/>
    <n v="196.46"/>
    <s v="Card"/>
  </r>
  <r>
    <s v="ORD-00876"/>
    <x v="148"/>
    <s v="CUST-0118"/>
    <s v="Customer 0118"/>
    <s v="Small Business"/>
    <x v="1"/>
    <s v="Karnataka"/>
    <s v="Bengaluru"/>
    <x v="0"/>
    <s v="Tables"/>
    <x v="12"/>
    <n v="1"/>
    <n v="6456.43"/>
    <n v="0.1"/>
    <n v="5810.79"/>
    <n v="634.35"/>
    <s v="Net Banking"/>
  </r>
  <r>
    <s v="ORD-00902"/>
    <x v="148"/>
    <s v="CUST-0187"/>
    <s v="Customer 0187"/>
    <s v="Consumer"/>
    <x v="0"/>
    <s v="Maharashtra"/>
    <s v="Mumbai"/>
    <x v="2"/>
    <s v="Stationery"/>
    <x v="9"/>
    <n v="4"/>
    <n v="350.7"/>
    <n v="0.1"/>
    <n v="1262.52"/>
    <n v="373.16"/>
    <s v="Net Banking"/>
  </r>
  <r>
    <s v="ORD-01479"/>
    <x v="148"/>
    <s v="CUST-0200"/>
    <s v="Customer 0200"/>
    <s v="Small Business"/>
    <x v="3"/>
    <s v="Bihar"/>
    <s v="Patna"/>
    <x v="0"/>
    <s v="Chairs"/>
    <x v="7"/>
    <n v="2"/>
    <n v="8141.95"/>
    <n v="0.05"/>
    <n v="15469.7"/>
    <n v="3409.88"/>
    <s v="Net Banking"/>
  </r>
  <r>
    <s v="ORD-00642"/>
    <x v="148"/>
    <s v="CUST-0280"/>
    <s v="Customer 0280"/>
    <s v="Small Business"/>
    <x v="2"/>
    <s v="Rajasthan"/>
    <s v="Jaipur"/>
    <x v="0"/>
    <s v="Storage"/>
    <x v="4"/>
    <n v="1"/>
    <n v="13965.98"/>
    <n v="0"/>
    <n v="13965.98"/>
    <n v="3594.83"/>
    <s v="Card"/>
  </r>
  <r>
    <s v="ORD-00001"/>
    <x v="148"/>
    <s v="CUST-0072"/>
    <s v="Customer 0072"/>
    <s v="Corporate"/>
    <x v="1"/>
    <s v="Karnataka"/>
    <s v="Bengaluru"/>
    <x v="2"/>
    <s v="Stationery"/>
    <x v="13"/>
    <n v="1"/>
    <n v="573.49"/>
    <n v="0"/>
    <n v="573.49"/>
    <n v="185.37"/>
    <s v="Cash"/>
  </r>
  <r>
    <s v="ORD-00471"/>
    <x v="148"/>
    <s v="CUST-0273"/>
    <s v="Customer 0273"/>
    <s v="Consumer"/>
    <x v="2"/>
    <s v="Delhi"/>
    <s v="Delhi"/>
    <x v="1"/>
    <s v="Phones"/>
    <x v="11"/>
    <n v="5"/>
    <n v="18434.82"/>
    <n v="0"/>
    <n v="92174.1"/>
    <n v="14428.46"/>
    <s v="Card"/>
  </r>
  <r>
    <s v="ORD-00129"/>
    <x v="148"/>
    <s v="CUST-0213"/>
    <s v="Customer 0213"/>
    <s v="Corporate"/>
    <x v="3"/>
    <s v="West Bengal"/>
    <s v="Kolkata"/>
    <x v="0"/>
    <s v="Storage"/>
    <x v="4"/>
    <n v="3"/>
    <n v="14276.61"/>
    <n v="0.05"/>
    <n v="40688.339999999997"/>
    <n v="6592.35"/>
    <s v="Card"/>
  </r>
  <r>
    <s v="ORD-00104"/>
    <x v="149"/>
    <s v="CUST-0065"/>
    <s v="Customer 0065"/>
    <s v="Consumer"/>
    <x v="1"/>
    <s v="Tamil Nadu"/>
    <s v="Chennai"/>
    <x v="0"/>
    <s v="Tables"/>
    <x v="12"/>
    <n v="1"/>
    <n v="6361.71"/>
    <n v="0.05"/>
    <n v="6043.62"/>
    <n v="963.89"/>
    <s v="Net Banking"/>
  </r>
  <r>
    <s v="ORD-00629"/>
    <x v="149"/>
    <s v="CUST-0194"/>
    <s v="Customer 0194"/>
    <s v="Corporate"/>
    <x v="0"/>
    <s v="Maharashtra"/>
    <s v="Mumbai"/>
    <x v="2"/>
    <s v="Stationery"/>
    <x v="13"/>
    <n v="1"/>
    <n v="628.04"/>
    <n v="0.15"/>
    <n v="533.83000000000004"/>
    <n v="90.84"/>
    <s v="UPI"/>
  </r>
  <r>
    <s v="ORD-00433"/>
    <x v="149"/>
    <s v="CUST-0225"/>
    <s v="Customer 0225"/>
    <s v="Consumer"/>
    <x v="2"/>
    <s v="Delhi"/>
    <s v="Delhi"/>
    <x v="1"/>
    <s v="Phones"/>
    <x v="1"/>
    <n v="2"/>
    <n v="41610.94"/>
    <n v="0.1"/>
    <n v="74899.69"/>
    <n v="9031.2900000000009"/>
    <s v="UPI"/>
  </r>
  <r>
    <s v="ORD-00027"/>
    <x v="149"/>
    <s v="CUST-0142"/>
    <s v="Customer 0142"/>
    <s v="Small Business"/>
    <x v="3"/>
    <s v="West Bengal"/>
    <s v="Kolkata"/>
    <x v="0"/>
    <s v="Tables"/>
    <x v="0"/>
    <n v="1"/>
    <n v="11512.78"/>
    <n v="0.05"/>
    <n v="10937.14"/>
    <n v="2264.81"/>
    <s v="Card"/>
  </r>
  <r>
    <s v="ORD-01474"/>
    <x v="149"/>
    <s v="CUST-0202"/>
    <s v="Customer 0202"/>
    <s v="Consumer"/>
    <x v="3"/>
    <s v="West Bengal"/>
    <s v="Kolkata"/>
    <x v="1"/>
    <s v="Phones"/>
    <x v="1"/>
    <n v="3"/>
    <n v="40817.9"/>
    <n v="0.15"/>
    <n v="104085.65"/>
    <n v="14349.72"/>
    <s v="Net Banking"/>
  </r>
  <r>
    <s v="ORD-00072"/>
    <x v="149"/>
    <s v="CUST-0296"/>
    <s v="Customer 0296"/>
    <s v="Consumer"/>
    <x v="1"/>
    <s v="Tamil Nadu"/>
    <s v="Chennai"/>
    <x v="0"/>
    <s v="Tables"/>
    <x v="12"/>
    <n v="3"/>
    <n v="6580.67"/>
    <n v="0.15"/>
    <n v="16780.71"/>
    <n v="2935.15"/>
    <s v="UPI"/>
  </r>
  <r>
    <s v="ORD-01419"/>
    <x v="149"/>
    <s v="CUST-0191"/>
    <s v="Customer 0191"/>
    <s v="Small Business"/>
    <x v="3"/>
    <s v="Bihar"/>
    <s v="Patna"/>
    <x v="1"/>
    <s v="Accessories"/>
    <x v="3"/>
    <n v="1"/>
    <n v="1213.17"/>
    <n v="0.05"/>
    <n v="1152.51"/>
    <n v="120.64"/>
    <s v="Card"/>
  </r>
  <r>
    <s v="ORD-01205"/>
    <x v="149"/>
    <s v="CUST-0243"/>
    <s v="Customer 0243"/>
    <s v="Consumer"/>
    <x v="2"/>
    <s v="Delhi"/>
    <s v="Delhi"/>
    <x v="1"/>
    <s v="Laptops"/>
    <x v="5"/>
    <n v="3"/>
    <n v="48581.16"/>
    <n v="0"/>
    <n v="145743.48000000001"/>
    <n v="30362.400000000001"/>
    <s v="UPI"/>
  </r>
  <r>
    <s v="ORD-01346"/>
    <x v="149"/>
    <s v="CUST-0126"/>
    <s v="Customer 0126"/>
    <s v="Consumer"/>
    <x v="3"/>
    <s v="West Bengal"/>
    <s v="Kolkata"/>
    <x v="0"/>
    <s v="Tables"/>
    <x v="0"/>
    <n v="2"/>
    <n v="11820.86"/>
    <n v="0.1"/>
    <n v="21277.55"/>
    <n v="2964.1"/>
    <s v="Card"/>
  </r>
  <r>
    <s v="ORD-00474"/>
    <x v="150"/>
    <s v="CUST-0298"/>
    <s v="Customer 0298"/>
    <s v="Corporate"/>
    <x v="1"/>
    <s v="Tamil Nadu"/>
    <s v="Chennai"/>
    <x v="1"/>
    <s v="Laptops"/>
    <x v="10"/>
    <n v="1"/>
    <n v="63779.25"/>
    <n v="0.05"/>
    <n v="60590.29"/>
    <n v="10092.030000000001"/>
    <s v="Cash"/>
  </r>
  <r>
    <s v="ORD-01339"/>
    <x v="150"/>
    <s v="CUST-0008"/>
    <s v="Customer 0008"/>
    <s v="Consumer"/>
    <x v="1"/>
    <s v="Tamil Nadu"/>
    <s v="Chennai"/>
    <x v="2"/>
    <s v="Stationery"/>
    <x v="9"/>
    <n v="4"/>
    <n v="332.97"/>
    <n v="0.1"/>
    <n v="1198.69"/>
    <n v="196.41"/>
    <s v="UPI"/>
  </r>
  <r>
    <s v="ORD-01271"/>
    <x v="150"/>
    <s v="CUST-0163"/>
    <s v="Customer 0163"/>
    <s v="Consumer"/>
    <x v="2"/>
    <s v="Rajasthan"/>
    <s v="Jaipur"/>
    <x v="1"/>
    <s v="Accessories"/>
    <x v="3"/>
    <n v="1"/>
    <n v="1151.19"/>
    <n v="0.05"/>
    <n v="1093.6300000000001"/>
    <n v="87.53"/>
    <s v="UPI"/>
  </r>
  <r>
    <s v="ORD-00423"/>
    <x v="151"/>
    <s v="CUST-0190"/>
    <s v="Customer 0190"/>
    <s v="Consumer"/>
    <x v="0"/>
    <s v="Maharashtra"/>
    <s v="Mumbai"/>
    <x v="1"/>
    <s v="Laptops"/>
    <x v="5"/>
    <n v="2"/>
    <n v="45620.1"/>
    <n v="0"/>
    <n v="91240.2"/>
    <n v="15863.09"/>
    <s v="Net Banking"/>
  </r>
  <r>
    <s v="ORD-00604"/>
    <x v="151"/>
    <s v="CUST-0183"/>
    <s v="Customer 0183"/>
    <s v="Corporate"/>
    <x v="0"/>
    <s v="Maharashtra"/>
    <s v="Pune"/>
    <x v="2"/>
    <s v="Stationery"/>
    <x v="9"/>
    <n v="2"/>
    <n v="362.23"/>
    <n v="0.1"/>
    <n v="652.01"/>
    <n v="148.75"/>
    <s v="UPI"/>
  </r>
  <r>
    <s v="ORD-01134"/>
    <x v="151"/>
    <s v="CUST-0279"/>
    <s v="Customer 0279"/>
    <s v="Consumer"/>
    <x v="2"/>
    <s v="Rajasthan"/>
    <s v="Jaipur"/>
    <x v="0"/>
    <s v="Tables"/>
    <x v="12"/>
    <n v="2"/>
    <n v="6455.62"/>
    <n v="0"/>
    <n v="12911.24"/>
    <n v="2859.17"/>
    <s v="Cash"/>
  </r>
  <r>
    <s v="ORD-01275"/>
    <x v="152"/>
    <s v="CUST-0006"/>
    <s v="Customer 0006"/>
    <s v="Small Business"/>
    <x v="2"/>
    <s v="Delhi"/>
    <s v="Delhi"/>
    <x v="1"/>
    <s v="Phones"/>
    <x v="1"/>
    <n v="2"/>
    <n v="44024.05"/>
    <n v="0.05"/>
    <n v="83645.7"/>
    <n v="14515.31"/>
    <s v="Net Banking"/>
  </r>
  <r>
    <s v="ORD-00836"/>
    <x v="152"/>
    <s v="CUST-0175"/>
    <s v="Customer 0175"/>
    <s v="Consumer"/>
    <x v="3"/>
    <s v="Odisha"/>
    <s v="Bhubaneswar"/>
    <x v="2"/>
    <s v="Paper"/>
    <x v="6"/>
    <n v="1"/>
    <n v="442.15"/>
    <n v="0"/>
    <n v="442.15"/>
    <n v="79.03"/>
    <s v="Cash"/>
  </r>
  <r>
    <s v="ORD-00047"/>
    <x v="152"/>
    <s v="CUST-0259"/>
    <s v="Customer 0259"/>
    <s v="Small Business"/>
    <x v="3"/>
    <s v="Odisha"/>
    <s v="Bhubaneswar"/>
    <x v="1"/>
    <s v="Accessories"/>
    <x v="8"/>
    <n v="1"/>
    <n v="1881.07"/>
    <n v="0.05"/>
    <n v="1787.02"/>
    <n v="346.58"/>
    <s v="UPI"/>
  </r>
  <r>
    <s v="ORD-00918"/>
    <x v="152"/>
    <s v="CUST-0116"/>
    <s v="Customer 0116"/>
    <s v="Consumer"/>
    <x v="2"/>
    <s v="Rajasthan"/>
    <s v="Jaipur"/>
    <x v="2"/>
    <s v="Storage"/>
    <x v="2"/>
    <n v="2"/>
    <n v="762.88"/>
    <n v="0.2"/>
    <n v="1220.6099999999999"/>
    <n v="148.81"/>
    <s v="Card"/>
  </r>
  <r>
    <s v="ORD-01307"/>
    <x v="152"/>
    <s v="CUST-0092"/>
    <s v="Customer 0092"/>
    <s v="Small Business"/>
    <x v="2"/>
    <s v="Delhi"/>
    <s v="Delhi"/>
    <x v="1"/>
    <s v="Laptops"/>
    <x v="10"/>
    <n v="1"/>
    <n v="64347.65"/>
    <n v="0.15"/>
    <n v="54695.5"/>
    <n v="3445.05"/>
    <s v="Net Banking"/>
  </r>
  <r>
    <s v="ORD-00271"/>
    <x v="152"/>
    <s v="CUST-0084"/>
    <s v="Customer 0084"/>
    <s v="Corporate"/>
    <x v="1"/>
    <s v="Karnataka"/>
    <s v="Bengaluru"/>
    <x v="2"/>
    <s v="Stationery"/>
    <x v="13"/>
    <n v="3"/>
    <n v="570.73"/>
    <n v="0.05"/>
    <n v="1626.58"/>
    <n v="231.54"/>
    <s v="Card"/>
  </r>
  <r>
    <s v="ORD-01299"/>
    <x v="152"/>
    <s v="CUST-0174"/>
    <s v="Customer 0174"/>
    <s v="Consumer"/>
    <x v="2"/>
    <s v="Rajasthan"/>
    <s v="Jaipur"/>
    <x v="2"/>
    <s v="Stationery"/>
    <x v="9"/>
    <n v="5"/>
    <n v="346.04"/>
    <n v="0.05"/>
    <n v="1643.69"/>
    <n v="399.97"/>
    <s v="Net Banking"/>
  </r>
  <r>
    <s v="ORD-00262"/>
    <x v="153"/>
    <s v="CUST-0264"/>
    <s v="Customer 0264"/>
    <s v="Corporate"/>
    <x v="3"/>
    <s v="West Bengal"/>
    <s v="Kolkata"/>
    <x v="2"/>
    <s v="Stationery"/>
    <x v="13"/>
    <n v="3"/>
    <n v="593.88"/>
    <n v="0.05"/>
    <n v="1692.56"/>
    <n v="346.57"/>
    <s v="Card"/>
  </r>
  <r>
    <s v="ORD-00075"/>
    <x v="153"/>
    <s v="CUST-0294"/>
    <s v="Customer 0294"/>
    <s v="Consumer"/>
    <x v="3"/>
    <s v="West Bengal"/>
    <s v="Kolkata"/>
    <x v="1"/>
    <s v="Accessories"/>
    <x v="8"/>
    <n v="2"/>
    <n v="1818.71"/>
    <n v="0.05"/>
    <n v="3455.55"/>
    <n v="478.84"/>
    <s v="Cash"/>
  </r>
  <r>
    <s v="ORD-00984"/>
    <x v="153"/>
    <s v="CUST-0253"/>
    <s v="Customer 0253"/>
    <s v="Corporate"/>
    <x v="0"/>
    <s v="Gujarat"/>
    <s v="Ahmedabad"/>
    <x v="0"/>
    <s v="Tables"/>
    <x v="0"/>
    <n v="5"/>
    <n v="11542.39"/>
    <n v="0.05"/>
    <n v="54826.35"/>
    <n v="10687.44"/>
    <s v="Card"/>
  </r>
  <r>
    <s v="ORD-00216"/>
    <x v="154"/>
    <s v="CUST-0125"/>
    <s v="Customer 0125"/>
    <s v="Corporate"/>
    <x v="2"/>
    <s v="Rajasthan"/>
    <s v="Jaipur"/>
    <x v="0"/>
    <s v="Tables"/>
    <x v="12"/>
    <n v="4"/>
    <n v="6226.33"/>
    <n v="0"/>
    <n v="24905.32"/>
    <n v="3943.05"/>
    <s v="Net Banking"/>
  </r>
  <r>
    <s v="ORD-01232"/>
    <x v="154"/>
    <s v="CUST-0187"/>
    <s v="Customer 0187"/>
    <s v="Corporate"/>
    <x v="1"/>
    <s v="Telangana"/>
    <s v="Hyderabad"/>
    <x v="1"/>
    <s v="Laptops"/>
    <x v="10"/>
    <n v="4"/>
    <n v="63008.62"/>
    <n v="0.05"/>
    <n v="239432.76"/>
    <n v="22415.46"/>
    <s v="Cash"/>
  </r>
  <r>
    <s v="ORD-01485"/>
    <x v="154"/>
    <s v="CUST-0143"/>
    <s v="Customer 0143"/>
    <s v="Consumer"/>
    <x v="3"/>
    <s v="West Bengal"/>
    <s v="Kolkata"/>
    <x v="2"/>
    <s v="Paper"/>
    <x v="6"/>
    <n v="1"/>
    <n v="461.16"/>
    <n v="0.05"/>
    <n v="438.1"/>
    <n v="107.48"/>
    <s v="Card"/>
  </r>
  <r>
    <s v="ORD-01320"/>
    <x v="155"/>
    <s v="CUST-0154"/>
    <s v="Customer 0154"/>
    <s v="Small Business"/>
    <x v="0"/>
    <s v="Maharashtra"/>
    <s v="Mumbai"/>
    <x v="0"/>
    <s v="Tables"/>
    <x v="0"/>
    <n v="2"/>
    <n v="12593.7"/>
    <n v="0.05"/>
    <n v="23928.03"/>
    <n v="4797.25"/>
    <s v="Card"/>
  </r>
  <r>
    <s v="ORD-00956"/>
    <x v="156"/>
    <s v="CUST-0158"/>
    <s v="Customer 0158"/>
    <s v="Consumer"/>
    <x v="1"/>
    <s v="Karnataka"/>
    <s v="Bengaluru"/>
    <x v="1"/>
    <s v="Accessories"/>
    <x v="8"/>
    <n v="4"/>
    <n v="1748.17"/>
    <n v="0"/>
    <n v="6992.68"/>
    <n v="588.34"/>
    <s v="UPI"/>
  </r>
  <r>
    <s v="ORD-00112"/>
    <x v="156"/>
    <s v="CUST-0191"/>
    <s v="Customer 0191"/>
    <s v="Corporate"/>
    <x v="2"/>
    <s v="Delhi"/>
    <s v="Delhi"/>
    <x v="2"/>
    <s v="Paper"/>
    <x v="6"/>
    <n v="1"/>
    <n v="470.76"/>
    <n v="0.15"/>
    <n v="400.15"/>
    <n v="78.08"/>
    <s v="Cash"/>
  </r>
  <r>
    <s v="ORD-00346"/>
    <x v="156"/>
    <s v="CUST-0077"/>
    <s v="Customer 0077"/>
    <s v="Corporate"/>
    <x v="3"/>
    <s v="Odisha"/>
    <s v="Bhubaneswar"/>
    <x v="1"/>
    <s v="Phones"/>
    <x v="1"/>
    <n v="2"/>
    <n v="40865.269999999997"/>
    <n v="0.1"/>
    <n v="73557.490000000005"/>
    <n v="10155.959999999999"/>
    <s v="Cash"/>
  </r>
  <r>
    <s v="ORD-00034"/>
    <x v="156"/>
    <s v="CUST-0096"/>
    <s v="Customer 0096"/>
    <s v="Small Business"/>
    <x v="2"/>
    <s v="Uttar Pradesh"/>
    <s v="Lucknow"/>
    <x v="2"/>
    <s v="Paper"/>
    <x v="6"/>
    <n v="3"/>
    <n v="430.68"/>
    <n v="0"/>
    <n v="1292.04"/>
    <n v="359.81"/>
    <s v="Cash"/>
  </r>
  <r>
    <s v="ORD-00681"/>
    <x v="156"/>
    <s v="CUST-0093"/>
    <s v="Customer 0093"/>
    <s v="Consumer"/>
    <x v="2"/>
    <s v="Uttar Pradesh"/>
    <s v="Lucknow"/>
    <x v="1"/>
    <s v="Phones"/>
    <x v="11"/>
    <n v="2"/>
    <n v="18102.080000000002"/>
    <n v="0.1"/>
    <n v="32583.74"/>
    <n v="5375.38"/>
    <s v="Net Banking"/>
  </r>
  <r>
    <s v="ORD-00196"/>
    <x v="157"/>
    <s v="CUST-0069"/>
    <s v="Customer 0069"/>
    <s v="Corporate"/>
    <x v="1"/>
    <s v="Karnataka"/>
    <s v="Bengaluru"/>
    <x v="1"/>
    <s v="Laptops"/>
    <x v="5"/>
    <n v="1"/>
    <n v="47826.879999999997"/>
    <n v="0.1"/>
    <n v="43044.19"/>
    <n v="8215.74"/>
    <s v="Card"/>
  </r>
  <r>
    <s v="ORD-00578"/>
    <x v="157"/>
    <s v="CUST-0205"/>
    <s v="Customer 0205"/>
    <s v="Consumer"/>
    <x v="0"/>
    <s v="Maharashtra"/>
    <s v="Pune"/>
    <x v="1"/>
    <s v="Accessories"/>
    <x v="8"/>
    <n v="1"/>
    <n v="1878.2"/>
    <n v="0.1"/>
    <n v="1690.38"/>
    <n v="136.13999999999999"/>
    <s v="Net Banking"/>
  </r>
  <r>
    <s v="ORD-00607"/>
    <x v="157"/>
    <s v="CUST-0038"/>
    <s v="Customer 0038"/>
    <s v="Corporate"/>
    <x v="1"/>
    <s v="Karnataka"/>
    <s v="Bengaluru"/>
    <x v="0"/>
    <s v="Storage"/>
    <x v="4"/>
    <n v="2"/>
    <n v="14301.16"/>
    <n v="0"/>
    <n v="28602.32"/>
    <n v="6183.09"/>
    <s v="Cash"/>
  </r>
  <r>
    <s v="ORD-00548"/>
    <x v="157"/>
    <s v="CUST-0103"/>
    <s v="Customer 0103"/>
    <s v="Small Business"/>
    <x v="1"/>
    <s v="Tamil Nadu"/>
    <s v="Chennai"/>
    <x v="2"/>
    <s v="Stationery"/>
    <x v="13"/>
    <n v="1"/>
    <n v="597.47"/>
    <n v="0.15"/>
    <n v="507.85"/>
    <n v="78.13"/>
    <s v="UPI"/>
  </r>
  <r>
    <s v="ORD-00410"/>
    <x v="157"/>
    <s v="CUST-0210"/>
    <s v="Customer 0210"/>
    <s v="Consumer"/>
    <x v="1"/>
    <s v="Telangana"/>
    <s v="Hyderabad"/>
    <x v="1"/>
    <s v="Accessories"/>
    <x v="8"/>
    <n v="1"/>
    <n v="1804.55"/>
    <n v="0.05"/>
    <n v="1714.32"/>
    <n v="136.66"/>
    <s v="UPI"/>
  </r>
  <r>
    <s v="ORD-00957"/>
    <x v="157"/>
    <s v="CUST-0186"/>
    <s v="Customer 0186"/>
    <s v="Consumer"/>
    <x v="3"/>
    <s v="West Bengal"/>
    <s v="Kolkata"/>
    <x v="2"/>
    <s v="Storage"/>
    <x v="2"/>
    <n v="2"/>
    <n v="764.02"/>
    <n v="0.1"/>
    <n v="1375.24"/>
    <n v="395.38"/>
    <s v="UPI"/>
  </r>
  <r>
    <s v="ORD-01108"/>
    <x v="157"/>
    <s v="CUST-0157"/>
    <s v="Customer 0157"/>
    <s v="Consumer"/>
    <x v="3"/>
    <s v="Odisha"/>
    <s v="Bhubaneswar"/>
    <x v="1"/>
    <s v="Accessories"/>
    <x v="3"/>
    <n v="2"/>
    <n v="1205.52"/>
    <n v="0.15"/>
    <n v="2049.38"/>
    <n v="286.06"/>
    <s v="Card"/>
  </r>
  <r>
    <s v="ORD-00764"/>
    <x v="157"/>
    <s v="CUST-0245"/>
    <s v="Customer 0245"/>
    <s v="Corporate"/>
    <x v="0"/>
    <s v="Maharashtra"/>
    <s v="Pune"/>
    <x v="2"/>
    <s v="Stationery"/>
    <x v="13"/>
    <n v="1"/>
    <n v="616.16"/>
    <n v="0.15"/>
    <n v="523.74"/>
    <n v="126.59"/>
    <s v="Cash"/>
  </r>
  <r>
    <s v="ORD-00158"/>
    <x v="157"/>
    <s v="CUST-0248"/>
    <s v="Customer 0248"/>
    <s v="Consumer"/>
    <x v="2"/>
    <s v="Delhi"/>
    <s v="Delhi"/>
    <x v="1"/>
    <s v="Phones"/>
    <x v="11"/>
    <n v="4"/>
    <n v="18222.45"/>
    <n v="0.1"/>
    <n v="65600.820000000007"/>
    <n v="4171.93"/>
    <s v="UPI"/>
  </r>
  <r>
    <s v="ORD-00596"/>
    <x v="158"/>
    <s v="CUST-0214"/>
    <s v="Customer 0214"/>
    <s v="Consumer"/>
    <x v="3"/>
    <s v="Bihar"/>
    <s v="Patna"/>
    <x v="2"/>
    <s v="Stationery"/>
    <x v="13"/>
    <n v="1"/>
    <n v="582.55999999999995"/>
    <n v="0.15"/>
    <n v="495.18"/>
    <n v="60.97"/>
    <s v="Cash"/>
  </r>
  <r>
    <s v="ORD-00479"/>
    <x v="158"/>
    <s v="CUST-0276"/>
    <s v="Customer 0276"/>
    <s v="Corporate"/>
    <x v="2"/>
    <s v="Rajasthan"/>
    <s v="Jaipur"/>
    <x v="1"/>
    <s v="Phones"/>
    <x v="11"/>
    <n v="2"/>
    <n v="18485.54"/>
    <n v="0.1"/>
    <n v="33273.97"/>
    <n v="6395.87"/>
    <s v="Net Banking"/>
  </r>
  <r>
    <s v="ORD-00260"/>
    <x v="158"/>
    <s v="CUST-0272"/>
    <s v="Customer 0272"/>
    <s v="Corporate"/>
    <x v="0"/>
    <s v="Gujarat"/>
    <s v="Ahmedabad"/>
    <x v="2"/>
    <s v="Stationery"/>
    <x v="9"/>
    <n v="2"/>
    <n v="336.89"/>
    <n v="0.2"/>
    <n v="539.02"/>
    <n v="51.14"/>
    <s v="UPI"/>
  </r>
  <r>
    <s v="ORD-00462"/>
    <x v="158"/>
    <s v="CUST-0074"/>
    <s v="Customer 0074"/>
    <s v="Consumer"/>
    <x v="1"/>
    <s v="Karnataka"/>
    <s v="Bengaluru"/>
    <x v="1"/>
    <s v="Phones"/>
    <x v="11"/>
    <n v="1"/>
    <n v="18865.43"/>
    <n v="0.15"/>
    <n v="16035.62"/>
    <n v="2099.71"/>
    <s v="Card"/>
  </r>
  <r>
    <s v="ORD-00387"/>
    <x v="159"/>
    <s v="CUST-0300"/>
    <s v="Customer 0300"/>
    <s v="Consumer"/>
    <x v="1"/>
    <s v="Tamil Nadu"/>
    <s v="Chennai"/>
    <x v="1"/>
    <s v="Phones"/>
    <x v="11"/>
    <n v="5"/>
    <n v="18879.16"/>
    <n v="0"/>
    <n v="94395.8"/>
    <n v="20466.82"/>
    <s v="UPI"/>
  </r>
  <r>
    <s v="ORD-00914"/>
    <x v="159"/>
    <s v="CUST-0065"/>
    <s v="Customer 0065"/>
    <s v="Consumer"/>
    <x v="3"/>
    <s v="Bihar"/>
    <s v="Patna"/>
    <x v="1"/>
    <s v="Phones"/>
    <x v="1"/>
    <n v="1"/>
    <n v="41123.14"/>
    <n v="0"/>
    <n v="41123.14"/>
    <n v="6825.85"/>
    <s v="Card"/>
  </r>
  <r>
    <s v="ORD-01152"/>
    <x v="159"/>
    <s v="CUST-0187"/>
    <s v="Customer 0187"/>
    <s v="Consumer"/>
    <x v="1"/>
    <s v="Karnataka"/>
    <s v="Bengaluru"/>
    <x v="0"/>
    <s v="Tables"/>
    <x v="0"/>
    <n v="2"/>
    <n v="12592.05"/>
    <n v="0.1"/>
    <n v="22665.69"/>
    <n v="2942.44"/>
    <s v="UPI"/>
  </r>
  <r>
    <s v="ORD-00543"/>
    <x v="160"/>
    <s v="CUST-0029"/>
    <s v="Customer 0029"/>
    <s v="Corporate"/>
    <x v="3"/>
    <s v="West Bengal"/>
    <s v="Kolkata"/>
    <x v="2"/>
    <s v="Paper"/>
    <x v="6"/>
    <n v="2"/>
    <n v="460.88"/>
    <n v="0.1"/>
    <n v="829.58"/>
    <n v="223.9"/>
    <s v="UPI"/>
  </r>
  <r>
    <s v="ORD-00535"/>
    <x v="160"/>
    <s v="CUST-0064"/>
    <s v="Customer 0064"/>
    <s v="Corporate"/>
    <x v="3"/>
    <s v="Bihar"/>
    <s v="Patna"/>
    <x v="0"/>
    <s v="Tables"/>
    <x v="0"/>
    <n v="3"/>
    <n v="11489.95"/>
    <n v="0.2"/>
    <n v="27575.88"/>
    <n v="2591.8000000000002"/>
    <s v="Cash"/>
  </r>
  <r>
    <s v="ORD-00624"/>
    <x v="160"/>
    <s v="CUST-0171"/>
    <s v="Customer 0171"/>
    <s v="Consumer"/>
    <x v="2"/>
    <s v="Rajasthan"/>
    <s v="Jaipur"/>
    <x v="1"/>
    <s v="Phones"/>
    <x v="11"/>
    <n v="3"/>
    <n v="17638.07"/>
    <n v="0.1"/>
    <n v="47622.79"/>
    <n v="5813.4"/>
    <s v="UPI"/>
  </r>
  <r>
    <s v="ORD-01075"/>
    <x v="160"/>
    <s v="CUST-0047"/>
    <s v="Customer 0047"/>
    <s v="Consumer"/>
    <x v="2"/>
    <s v="Uttar Pradesh"/>
    <s v="Lucknow"/>
    <x v="2"/>
    <s v="Stationery"/>
    <x v="9"/>
    <n v="4"/>
    <n v="365.51"/>
    <n v="0.05"/>
    <n v="1388.94"/>
    <n v="239.79"/>
    <s v="Net Banking"/>
  </r>
  <r>
    <s v="ORD-01323"/>
    <x v="161"/>
    <s v="CUST-0058"/>
    <s v="Customer 0058"/>
    <s v="Consumer"/>
    <x v="3"/>
    <s v="Odisha"/>
    <s v="Bhubaneswar"/>
    <x v="2"/>
    <s v="Stationery"/>
    <x v="13"/>
    <n v="4"/>
    <n v="580.16"/>
    <n v="0.05"/>
    <n v="2204.61"/>
    <n v="533.35"/>
    <s v="Net Banking"/>
  </r>
  <r>
    <s v="ORD-00916"/>
    <x v="161"/>
    <s v="CUST-0107"/>
    <s v="Customer 0107"/>
    <s v="Small Business"/>
    <x v="0"/>
    <s v="Maharashtra"/>
    <s v="Mumbai"/>
    <x v="0"/>
    <s v="Chairs"/>
    <x v="7"/>
    <n v="1"/>
    <n v="8700.61"/>
    <n v="0.1"/>
    <n v="7830.55"/>
    <n v="1377.16"/>
    <s v="Card"/>
  </r>
  <r>
    <s v="ORD-00325"/>
    <x v="161"/>
    <s v="CUST-0279"/>
    <s v="Customer 0279"/>
    <s v="Small Business"/>
    <x v="3"/>
    <s v="Bihar"/>
    <s v="Patna"/>
    <x v="1"/>
    <s v="Phones"/>
    <x v="11"/>
    <n v="3"/>
    <n v="18446.11"/>
    <n v="0.15"/>
    <n v="47037.58"/>
    <n v="3666.06"/>
    <s v="Cash"/>
  </r>
  <r>
    <s v="ORD-00879"/>
    <x v="162"/>
    <s v="CUST-0136"/>
    <s v="Customer 0136"/>
    <s v="Corporate"/>
    <x v="0"/>
    <s v="Maharashtra"/>
    <s v="Pune"/>
    <x v="2"/>
    <s v="Stationery"/>
    <x v="9"/>
    <n v="1"/>
    <n v="347.48"/>
    <n v="0.05"/>
    <n v="330.11"/>
    <n v="102.02"/>
    <s v="UPI"/>
  </r>
  <r>
    <s v="ORD-00754"/>
    <x v="162"/>
    <s v="CUST-0076"/>
    <s v="Customer 0076"/>
    <s v="Small Business"/>
    <x v="0"/>
    <s v="Maharashtra"/>
    <s v="Mumbai"/>
    <x v="1"/>
    <s v="Phones"/>
    <x v="1"/>
    <n v="1"/>
    <n v="40299.24"/>
    <n v="0.1"/>
    <n v="36269.32"/>
    <n v="3181.87"/>
    <s v="UPI"/>
  </r>
  <r>
    <s v="ORD-01026"/>
    <x v="163"/>
    <s v="CUST-0028"/>
    <s v="Customer 0028"/>
    <s v="Consumer"/>
    <x v="3"/>
    <s v="West Bengal"/>
    <s v="Kolkata"/>
    <x v="2"/>
    <s v="Paper"/>
    <x v="6"/>
    <n v="3"/>
    <n v="448.15"/>
    <n v="0.05"/>
    <n v="1277.23"/>
    <n v="430.2"/>
    <s v="Cash"/>
  </r>
  <r>
    <s v="ORD-00904"/>
    <x v="163"/>
    <s v="CUST-0043"/>
    <s v="Customer 0043"/>
    <s v="Corporate"/>
    <x v="2"/>
    <s v="Rajasthan"/>
    <s v="Jaipur"/>
    <x v="2"/>
    <s v="Stationery"/>
    <x v="9"/>
    <n v="4"/>
    <n v="333.53"/>
    <n v="0"/>
    <n v="1334.12"/>
    <n v="247.68"/>
    <s v="UPI"/>
  </r>
  <r>
    <s v="ORD-00877"/>
    <x v="163"/>
    <s v="CUST-0188"/>
    <s v="Customer 0188"/>
    <s v="Small Business"/>
    <x v="1"/>
    <s v="Karnataka"/>
    <s v="Bengaluru"/>
    <x v="1"/>
    <s v="Phones"/>
    <x v="11"/>
    <n v="3"/>
    <n v="18488.830000000002"/>
    <n v="0.1"/>
    <n v="49919.839999999997"/>
    <n v="6950.08"/>
    <s v="Card"/>
  </r>
  <r>
    <s v="ORD-00150"/>
    <x v="163"/>
    <s v="CUST-0072"/>
    <s v="Customer 0072"/>
    <s v="Corporate"/>
    <x v="1"/>
    <s v="Karnataka"/>
    <s v="Bengaluru"/>
    <x v="2"/>
    <s v="Paper"/>
    <x v="6"/>
    <n v="2"/>
    <n v="441.09"/>
    <n v="0.05"/>
    <n v="838.07"/>
    <n v="235.29"/>
    <s v="Card"/>
  </r>
  <r>
    <s v="ORD-00753"/>
    <x v="163"/>
    <s v="CUST-0059"/>
    <s v="Customer 0059"/>
    <s v="Consumer"/>
    <x v="1"/>
    <s v="Telangana"/>
    <s v="Hyderabad"/>
    <x v="1"/>
    <s v="Accessories"/>
    <x v="3"/>
    <n v="5"/>
    <n v="1208.02"/>
    <n v="0.15"/>
    <n v="5134.09"/>
    <n v="515.08000000000004"/>
    <s v="Cash"/>
  </r>
  <r>
    <s v="ORD-01157"/>
    <x v="164"/>
    <s v="CUST-0030"/>
    <s v="Customer 0030"/>
    <s v="Consumer"/>
    <x v="3"/>
    <s v="Bihar"/>
    <s v="Patna"/>
    <x v="1"/>
    <s v="Laptops"/>
    <x v="5"/>
    <n v="2"/>
    <n v="48863.93"/>
    <n v="0.15"/>
    <n v="83068.679999999993"/>
    <n v="13507.97"/>
    <s v="UPI"/>
  </r>
  <r>
    <s v="ORD-00799"/>
    <x v="164"/>
    <s v="CUST-0020"/>
    <s v="Customer 0020"/>
    <s v="Corporate"/>
    <x v="3"/>
    <s v="West Bengal"/>
    <s v="Kolkata"/>
    <x v="2"/>
    <s v="Paper"/>
    <x v="6"/>
    <n v="1"/>
    <n v="462.21"/>
    <n v="0"/>
    <n v="462.21"/>
    <n v="147.12"/>
    <s v="Card"/>
  </r>
  <r>
    <s v="ORD-00200"/>
    <x v="164"/>
    <s v="CUST-0214"/>
    <s v="Customer 0214"/>
    <s v="Consumer"/>
    <x v="3"/>
    <s v="Odisha"/>
    <s v="Bhubaneswar"/>
    <x v="1"/>
    <s v="Phones"/>
    <x v="11"/>
    <n v="1"/>
    <n v="17390.919999999998"/>
    <n v="0.1"/>
    <n v="15651.83"/>
    <n v="1285.06"/>
    <s v="Card"/>
  </r>
  <r>
    <s v="ORD-00461"/>
    <x v="164"/>
    <s v="CUST-0198"/>
    <s v="Customer 0198"/>
    <s v="Consumer"/>
    <x v="2"/>
    <s v="Rajasthan"/>
    <s v="Jaipur"/>
    <x v="2"/>
    <s v="Storage"/>
    <x v="2"/>
    <n v="5"/>
    <n v="776.97"/>
    <n v="0"/>
    <n v="3884.85"/>
    <n v="713.89"/>
    <s v="Card"/>
  </r>
  <r>
    <s v="ORD-00650"/>
    <x v="165"/>
    <s v="CUST-0162"/>
    <s v="Customer 0162"/>
    <s v="Small Business"/>
    <x v="2"/>
    <s v="Rajasthan"/>
    <s v="Jaipur"/>
    <x v="0"/>
    <s v="Chairs"/>
    <x v="7"/>
    <n v="1"/>
    <n v="8210.7900000000009"/>
    <n v="0.05"/>
    <n v="7800.25"/>
    <n v="1073.98"/>
    <s v="Card"/>
  </r>
  <r>
    <s v="ORD-01145"/>
    <x v="165"/>
    <s v="CUST-0281"/>
    <s v="Customer 0281"/>
    <s v="Consumer"/>
    <x v="1"/>
    <s v="Karnataka"/>
    <s v="Bengaluru"/>
    <x v="2"/>
    <s v="Paper"/>
    <x v="6"/>
    <n v="1"/>
    <n v="439.87"/>
    <n v="0.15"/>
    <n v="373.89"/>
    <n v="59.15"/>
    <s v="Net Banking"/>
  </r>
  <r>
    <s v="ORD-00058"/>
    <x v="166"/>
    <s v="CUST-0195"/>
    <s v="Customer 0195"/>
    <s v="Consumer"/>
    <x v="2"/>
    <s v="Delhi"/>
    <s v="Delhi"/>
    <x v="1"/>
    <s v="Phones"/>
    <x v="1"/>
    <n v="5"/>
    <n v="40840.17"/>
    <n v="0.1"/>
    <n v="183780.76"/>
    <n v="32423.27"/>
    <s v="UPI"/>
  </r>
  <r>
    <s v="ORD-00331"/>
    <x v="166"/>
    <s v="CUST-0183"/>
    <s v="Customer 0183"/>
    <s v="Corporate"/>
    <x v="0"/>
    <s v="Gujarat"/>
    <s v="Ahmedabad"/>
    <x v="0"/>
    <s v="Storage"/>
    <x v="4"/>
    <n v="2"/>
    <n v="14417.44"/>
    <n v="0.05"/>
    <n v="27393.14"/>
    <n v="5021.18"/>
    <s v="Net Banking"/>
  </r>
  <r>
    <s v="ORD-01214"/>
    <x v="166"/>
    <s v="CUST-0243"/>
    <s v="Customer 0243"/>
    <s v="Consumer"/>
    <x v="3"/>
    <s v="Odisha"/>
    <s v="Bhubaneswar"/>
    <x v="1"/>
    <s v="Phones"/>
    <x v="1"/>
    <n v="1"/>
    <n v="43881.25"/>
    <n v="0.15"/>
    <n v="37299.06"/>
    <n v="4934.75"/>
    <s v="Cash"/>
  </r>
  <r>
    <s v="ORD-01392"/>
    <x v="166"/>
    <s v="CUST-0031"/>
    <s v="Customer 0031"/>
    <s v="Consumer"/>
    <x v="2"/>
    <s v="Uttar Pradesh"/>
    <s v="Lucknow"/>
    <x v="1"/>
    <s v="Phones"/>
    <x v="1"/>
    <n v="2"/>
    <n v="43622.59"/>
    <n v="0.15"/>
    <n v="74158.399999999994"/>
    <n v="5076.07"/>
    <s v="UPI"/>
  </r>
  <r>
    <s v="ORD-00390"/>
    <x v="167"/>
    <s v="CUST-0181"/>
    <s v="Customer 0181"/>
    <s v="Corporate"/>
    <x v="3"/>
    <s v="West Bengal"/>
    <s v="Kolkata"/>
    <x v="2"/>
    <s v="Stationery"/>
    <x v="9"/>
    <n v="1"/>
    <n v="336.1"/>
    <n v="0.15"/>
    <n v="285.69"/>
    <n v="35.270000000000003"/>
    <s v="Cash"/>
  </r>
  <r>
    <s v="ORD-01360"/>
    <x v="167"/>
    <s v="CUST-0240"/>
    <s v="Customer 0240"/>
    <s v="Small Business"/>
    <x v="0"/>
    <s v="Maharashtra"/>
    <s v="Pune"/>
    <x v="0"/>
    <s v="Storage"/>
    <x v="4"/>
    <n v="1"/>
    <n v="14826.21"/>
    <n v="0.05"/>
    <n v="14084.9"/>
    <n v="1604.18"/>
    <s v="Cash"/>
  </r>
  <r>
    <s v="ORD-00416"/>
    <x v="167"/>
    <s v="CUST-0235"/>
    <s v="Customer 0235"/>
    <s v="Consumer"/>
    <x v="2"/>
    <s v="Delhi"/>
    <s v="Delhi"/>
    <x v="1"/>
    <s v="Laptops"/>
    <x v="10"/>
    <n v="2"/>
    <n v="64226.19"/>
    <n v="0.1"/>
    <n v="115607.14"/>
    <n v="7243.09"/>
    <s v="Card"/>
  </r>
  <r>
    <s v="ORD-00454"/>
    <x v="167"/>
    <s v="CUST-0097"/>
    <s v="Customer 0097"/>
    <s v="Corporate"/>
    <x v="2"/>
    <s v="Rajasthan"/>
    <s v="Jaipur"/>
    <x v="2"/>
    <s v="Stationery"/>
    <x v="13"/>
    <n v="4"/>
    <n v="577.15"/>
    <n v="0.05"/>
    <n v="2193.17"/>
    <n v="533.20000000000005"/>
    <s v="Cash"/>
  </r>
  <r>
    <s v="ORD-00446"/>
    <x v="168"/>
    <s v="CUST-0035"/>
    <s v="Customer 0035"/>
    <s v="Small Business"/>
    <x v="0"/>
    <s v="Maharashtra"/>
    <s v="Pune"/>
    <x v="1"/>
    <s v="Phones"/>
    <x v="11"/>
    <n v="1"/>
    <n v="18391.439999999999"/>
    <n v="0"/>
    <n v="18391.439999999999"/>
    <n v="2695.57"/>
    <s v="Cash"/>
  </r>
  <r>
    <s v="ORD-00665"/>
    <x v="168"/>
    <s v="CUST-0165"/>
    <s v="Customer 0165"/>
    <s v="Consumer"/>
    <x v="3"/>
    <s v="West Bengal"/>
    <s v="Kolkata"/>
    <x v="0"/>
    <s v="Storage"/>
    <x v="4"/>
    <n v="4"/>
    <n v="14325.42"/>
    <n v="0.1"/>
    <n v="51571.51"/>
    <n v="11036.38"/>
    <s v="Net Banking"/>
  </r>
  <r>
    <s v="ORD-00417"/>
    <x v="168"/>
    <s v="CUST-0095"/>
    <s v="Customer 0095"/>
    <s v="Small Business"/>
    <x v="1"/>
    <s v="Karnataka"/>
    <s v="Bengaluru"/>
    <x v="2"/>
    <s v="Paper"/>
    <x v="6"/>
    <n v="4"/>
    <n v="443.39"/>
    <n v="0.1"/>
    <n v="1596.2"/>
    <n v="456.66"/>
    <s v="Cash"/>
  </r>
  <r>
    <s v="ORD-00849"/>
    <x v="168"/>
    <s v="CUST-0133"/>
    <s v="Customer 0133"/>
    <s v="Consumer"/>
    <x v="3"/>
    <s v="Odisha"/>
    <s v="Bhubaneswar"/>
    <x v="0"/>
    <s v="Storage"/>
    <x v="4"/>
    <n v="1"/>
    <n v="14652.75"/>
    <n v="0.1"/>
    <n v="13187.48"/>
    <n v="1622.33"/>
    <s v="UPI"/>
  </r>
  <r>
    <s v="ORD-00634"/>
    <x v="168"/>
    <s v="CUST-0152"/>
    <s v="Customer 0152"/>
    <s v="Corporate"/>
    <x v="2"/>
    <s v="Rajasthan"/>
    <s v="Jaipur"/>
    <x v="2"/>
    <s v="Storage"/>
    <x v="2"/>
    <n v="2"/>
    <n v="741.77"/>
    <n v="0.05"/>
    <n v="1409.36"/>
    <n v="460.08"/>
    <s v="UPI"/>
  </r>
  <r>
    <s v="ORD-01005"/>
    <x v="169"/>
    <s v="CUST-0254"/>
    <s v="Customer 0254"/>
    <s v="Small Business"/>
    <x v="1"/>
    <s v="Tamil Nadu"/>
    <s v="Chennai"/>
    <x v="0"/>
    <s v="Storage"/>
    <x v="4"/>
    <n v="1"/>
    <n v="13925.19"/>
    <n v="0.15"/>
    <n v="11836.41"/>
    <n v="2761.54"/>
    <s v="Net Banking"/>
  </r>
  <r>
    <s v="ORD-01468"/>
    <x v="169"/>
    <s v="CUST-0232"/>
    <s v="Customer 0232"/>
    <s v="Consumer"/>
    <x v="0"/>
    <s v="Maharashtra"/>
    <s v="Mumbai"/>
    <x v="1"/>
    <s v="Phones"/>
    <x v="11"/>
    <n v="2"/>
    <n v="18139.78"/>
    <n v="0.05"/>
    <n v="34465.58"/>
    <n v="4694.05"/>
    <s v="Cash"/>
  </r>
  <r>
    <s v="ORD-01209"/>
    <x v="169"/>
    <s v="CUST-0208"/>
    <s v="Customer 0208"/>
    <s v="Consumer"/>
    <x v="0"/>
    <s v="Maharashtra"/>
    <s v="Pune"/>
    <x v="2"/>
    <s v="Stationery"/>
    <x v="13"/>
    <n v="2"/>
    <n v="602.22"/>
    <n v="0"/>
    <n v="1204.44"/>
    <n v="385.28"/>
    <s v="Cash"/>
  </r>
  <r>
    <s v="ORD-00045"/>
    <x v="169"/>
    <s v="CUST-0191"/>
    <s v="Customer 0191"/>
    <s v="Consumer"/>
    <x v="0"/>
    <s v="Maharashtra"/>
    <s v="Pune"/>
    <x v="0"/>
    <s v="Tables"/>
    <x v="12"/>
    <n v="1"/>
    <n v="6458.62"/>
    <n v="0.1"/>
    <n v="5812.76"/>
    <n v="1243.29"/>
    <s v="UPI"/>
  </r>
  <r>
    <s v="ORD-01341"/>
    <x v="169"/>
    <s v="CUST-0090"/>
    <s v="Customer 0090"/>
    <s v="Consumer"/>
    <x v="0"/>
    <s v="Maharashtra"/>
    <s v="Mumbai"/>
    <x v="2"/>
    <s v="Storage"/>
    <x v="2"/>
    <n v="4"/>
    <n v="776.71"/>
    <n v="0"/>
    <n v="3106.84"/>
    <n v="609.45000000000005"/>
    <s v="Cash"/>
  </r>
  <r>
    <s v="ORD-00172"/>
    <x v="169"/>
    <s v="CUST-0203"/>
    <s v="Customer 0203"/>
    <s v="Consumer"/>
    <x v="3"/>
    <s v="West Bengal"/>
    <s v="Kolkata"/>
    <x v="2"/>
    <s v="Stationery"/>
    <x v="9"/>
    <n v="2"/>
    <n v="340.44"/>
    <n v="0.05"/>
    <n v="646.84"/>
    <n v="205.21"/>
    <s v="Cash"/>
  </r>
  <r>
    <s v="ORD-00830"/>
    <x v="170"/>
    <s v="CUST-0129"/>
    <s v="Customer 0129"/>
    <s v="Corporate"/>
    <x v="1"/>
    <s v="Telangana"/>
    <s v="Hyderabad"/>
    <x v="1"/>
    <s v="Accessories"/>
    <x v="3"/>
    <n v="4"/>
    <n v="1257.74"/>
    <n v="0.05"/>
    <n v="4779.41"/>
    <n v="835.78"/>
    <s v="UPI"/>
  </r>
  <r>
    <s v="ORD-01024"/>
    <x v="170"/>
    <s v="CUST-0090"/>
    <s v="Customer 0090"/>
    <s v="Corporate"/>
    <x v="2"/>
    <s v="Rajasthan"/>
    <s v="Jaipur"/>
    <x v="0"/>
    <s v="Chairs"/>
    <x v="7"/>
    <n v="4"/>
    <n v="8630.56"/>
    <n v="0.2"/>
    <n v="27617.79"/>
    <n v="4318.43"/>
    <s v="Cash"/>
  </r>
  <r>
    <s v="ORD-01229"/>
    <x v="170"/>
    <s v="CUST-0263"/>
    <s v="Customer 0263"/>
    <s v="Corporate"/>
    <x v="3"/>
    <s v="West Bengal"/>
    <s v="Kolkata"/>
    <x v="2"/>
    <s v="Stationery"/>
    <x v="13"/>
    <n v="2"/>
    <n v="623.67999999999995"/>
    <n v="0"/>
    <n v="1247.3599999999999"/>
    <n v="249.11"/>
    <s v="Cash"/>
  </r>
  <r>
    <s v="ORD-01390"/>
    <x v="170"/>
    <s v="CUST-0112"/>
    <s v="Customer 0112"/>
    <s v="Corporate"/>
    <x v="1"/>
    <s v="Karnataka"/>
    <s v="Bengaluru"/>
    <x v="1"/>
    <s v="Phones"/>
    <x v="1"/>
    <n v="2"/>
    <n v="40728.61"/>
    <n v="0.2"/>
    <n v="65165.78"/>
    <n v="10832.88"/>
    <s v="Card"/>
  </r>
  <r>
    <s v="ORD-01282"/>
    <x v="171"/>
    <s v="CUST-0120"/>
    <s v="Customer 0120"/>
    <s v="Consumer"/>
    <x v="0"/>
    <s v="Maharashtra"/>
    <s v="Pune"/>
    <x v="2"/>
    <s v="Paper"/>
    <x v="6"/>
    <n v="1"/>
    <n v="437.11"/>
    <n v="0.1"/>
    <n v="393.4"/>
    <n v="89.07"/>
    <s v="Card"/>
  </r>
  <r>
    <s v="ORD-00827"/>
    <x v="171"/>
    <s v="CUST-0100"/>
    <s v="Customer 0100"/>
    <s v="Consumer"/>
    <x v="1"/>
    <s v="Telangana"/>
    <s v="Hyderabad"/>
    <x v="1"/>
    <s v="Phones"/>
    <x v="1"/>
    <n v="2"/>
    <n v="43569.02"/>
    <n v="0.05"/>
    <n v="82781.14"/>
    <n v="14518.02"/>
    <s v="Cash"/>
  </r>
  <r>
    <s v="ORD-01003"/>
    <x v="171"/>
    <s v="CUST-0241"/>
    <s v="Customer 0241"/>
    <s v="Small Business"/>
    <x v="2"/>
    <s v="Delhi"/>
    <s v="Delhi"/>
    <x v="0"/>
    <s v="Tables"/>
    <x v="0"/>
    <n v="1"/>
    <n v="12108.71"/>
    <n v="0.05"/>
    <n v="11503.27"/>
    <n v="2423.7800000000002"/>
    <s v="Cash"/>
  </r>
  <r>
    <s v="ORD-01009"/>
    <x v="171"/>
    <s v="CUST-0054"/>
    <s v="Customer 0054"/>
    <s v="Corporate"/>
    <x v="3"/>
    <s v="Bihar"/>
    <s v="Patna"/>
    <x v="0"/>
    <s v="Tables"/>
    <x v="0"/>
    <n v="5"/>
    <n v="11523.91"/>
    <n v="0"/>
    <n v="57619.55"/>
    <n v="7394.55"/>
    <s v="Card"/>
  </r>
  <r>
    <s v="ORD-00716"/>
    <x v="172"/>
    <s v="CUST-0285"/>
    <s v="Customer 0285"/>
    <s v="Consumer"/>
    <x v="3"/>
    <s v="Bihar"/>
    <s v="Patna"/>
    <x v="1"/>
    <s v="Accessories"/>
    <x v="3"/>
    <n v="1"/>
    <n v="1233.04"/>
    <n v="0.15"/>
    <n v="1048.08"/>
    <n v="104.64"/>
    <s v="Cash"/>
  </r>
  <r>
    <s v="ORD-01453"/>
    <x v="172"/>
    <s v="CUST-0041"/>
    <s v="Customer 0041"/>
    <s v="Corporate"/>
    <x v="2"/>
    <s v="Rajasthan"/>
    <s v="Jaipur"/>
    <x v="0"/>
    <s v="Tables"/>
    <x v="12"/>
    <n v="2"/>
    <n v="6252.45"/>
    <n v="0.05"/>
    <n v="11879.65"/>
    <n v="1816.86"/>
    <s v="Net Banking"/>
  </r>
  <r>
    <s v="ORD-00021"/>
    <x v="172"/>
    <s v="CUST-0289"/>
    <s v="Customer 0289"/>
    <s v="Consumer"/>
    <x v="2"/>
    <s v="Delhi"/>
    <s v="Delhi"/>
    <x v="1"/>
    <s v="Phones"/>
    <x v="11"/>
    <n v="1"/>
    <n v="18439.509999999998"/>
    <n v="0.05"/>
    <n v="17517.53"/>
    <n v="3014.43"/>
    <s v="Net Banking"/>
  </r>
  <r>
    <s v="ORD-00252"/>
    <x v="173"/>
    <s v="CUST-0107"/>
    <s v="Customer 0107"/>
    <s v="Consumer"/>
    <x v="3"/>
    <s v="West Bengal"/>
    <s v="Kolkata"/>
    <x v="1"/>
    <s v="Laptops"/>
    <x v="10"/>
    <n v="4"/>
    <n v="66878.06"/>
    <n v="0.05"/>
    <n v="254136.63"/>
    <n v="49414.17"/>
    <s v="Card"/>
  </r>
  <r>
    <s v="ORD-00979"/>
    <x v="173"/>
    <s v="CUST-0201"/>
    <s v="Customer 0201"/>
    <s v="Small Business"/>
    <x v="1"/>
    <s v="Tamil Nadu"/>
    <s v="Chennai"/>
    <x v="1"/>
    <s v="Phones"/>
    <x v="1"/>
    <n v="2"/>
    <n v="41892.17"/>
    <n v="0.1"/>
    <n v="75405.91"/>
    <n v="7687.36"/>
    <s v="Net Banking"/>
  </r>
  <r>
    <s v="ORD-01429"/>
    <x v="173"/>
    <s v="CUST-0049"/>
    <s v="Customer 0049"/>
    <s v="Consumer"/>
    <x v="3"/>
    <s v="West Bengal"/>
    <s v="Kolkata"/>
    <x v="1"/>
    <s v="Accessories"/>
    <x v="8"/>
    <n v="1"/>
    <n v="1834.64"/>
    <n v="0.1"/>
    <n v="1651.18"/>
    <n v="228.08"/>
    <s v="Card"/>
  </r>
  <r>
    <s v="ORD-00669"/>
    <x v="173"/>
    <s v="CUST-0224"/>
    <s v="Customer 0224"/>
    <s v="Small Business"/>
    <x v="3"/>
    <s v="Odisha"/>
    <s v="Bhubaneswar"/>
    <x v="1"/>
    <s v="Laptops"/>
    <x v="10"/>
    <n v="1"/>
    <n v="67519.02"/>
    <n v="0.05"/>
    <n v="64143.07"/>
    <n v="10237.66"/>
    <s v="Cash"/>
  </r>
  <r>
    <s v="ORD-00107"/>
    <x v="174"/>
    <s v="CUST-0262"/>
    <s v="Customer 0262"/>
    <s v="Small Business"/>
    <x v="2"/>
    <s v="Uttar Pradesh"/>
    <s v="Lucknow"/>
    <x v="0"/>
    <s v="Tables"/>
    <x v="0"/>
    <n v="2"/>
    <n v="12021.91"/>
    <n v="0"/>
    <n v="24043.82"/>
    <n v="5182.9799999999996"/>
    <s v="Card"/>
  </r>
  <r>
    <s v="ORD-01061"/>
    <x v="174"/>
    <s v="CUST-0010"/>
    <s v="Customer 0010"/>
    <s v="Corporate"/>
    <x v="0"/>
    <s v="Gujarat"/>
    <s v="Ahmedabad"/>
    <x v="2"/>
    <s v="Stationery"/>
    <x v="13"/>
    <n v="4"/>
    <n v="591.41999999999996"/>
    <n v="0.1"/>
    <n v="2129.11"/>
    <n v="480.42"/>
    <s v="UPI"/>
  </r>
  <r>
    <s v="ORD-01125"/>
    <x v="174"/>
    <s v="CUST-0052"/>
    <s v="Customer 0052"/>
    <s v="Small Business"/>
    <x v="1"/>
    <s v="Telangana"/>
    <s v="Hyderabad"/>
    <x v="1"/>
    <s v="Phones"/>
    <x v="11"/>
    <n v="1"/>
    <n v="18691.46"/>
    <n v="0"/>
    <n v="18691.46"/>
    <n v="3453.07"/>
    <s v="Card"/>
  </r>
  <r>
    <s v="ORD-01092"/>
    <x v="174"/>
    <s v="CUST-0206"/>
    <s v="Customer 0206"/>
    <s v="Consumer"/>
    <x v="2"/>
    <s v="Delhi"/>
    <s v="Delhi"/>
    <x v="0"/>
    <s v="Storage"/>
    <x v="4"/>
    <n v="4"/>
    <n v="15060.52"/>
    <n v="0"/>
    <n v="60242.080000000002"/>
    <n v="14263.13"/>
    <s v="Card"/>
  </r>
  <r>
    <s v="ORD-00194"/>
    <x v="174"/>
    <s v="CUST-0044"/>
    <s v="Customer 0044"/>
    <s v="Consumer"/>
    <x v="1"/>
    <s v="Karnataka"/>
    <s v="Bengaluru"/>
    <x v="1"/>
    <s v="Accessories"/>
    <x v="8"/>
    <n v="4"/>
    <n v="1821.55"/>
    <n v="0"/>
    <n v="7286.2"/>
    <n v="1156.17"/>
    <s v="UPI"/>
  </r>
  <r>
    <s v="ORD-00936"/>
    <x v="174"/>
    <s v="CUST-0010"/>
    <s v="Customer 0010"/>
    <s v="Consumer"/>
    <x v="3"/>
    <s v="West Bengal"/>
    <s v="Kolkata"/>
    <x v="0"/>
    <s v="Storage"/>
    <x v="4"/>
    <n v="1"/>
    <n v="14714.12"/>
    <n v="0"/>
    <n v="14714.12"/>
    <n v="2758.61"/>
    <s v="UPI"/>
  </r>
  <r>
    <s v="ORD-00420"/>
    <x v="175"/>
    <s v="CUST-0006"/>
    <s v="Customer 0006"/>
    <s v="Consumer"/>
    <x v="2"/>
    <s v="Uttar Pradesh"/>
    <s v="Lucknow"/>
    <x v="1"/>
    <s v="Phones"/>
    <x v="1"/>
    <n v="4"/>
    <n v="43610.97"/>
    <n v="0.2"/>
    <n v="139555.1"/>
    <n v="12305.78"/>
    <s v="UPI"/>
  </r>
  <r>
    <s v="ORD-00724"/>
    <x v="175"/>
    <s v="CUST-0287"/>
    <s v="Customer 0287"/>
    <s v="Consumer"/>
    <x v="0"/>
    <s v="Maharashtra"/>
    <s v="Pune"/>
    <x v="0"/>
    <s v="Storage"/>
    <x v="4"/>
    <n v="1"/>
    <n v="13856.75"/>
    <n v="0.15"/>
    <n v="11778.24"/>
    <n v="1709.42"/>
    <s v="Net Banking"/>
  </r>
  <r>
    <s v="ORD-00866"/>
    <x v="175"/>
    <s v="CUST-0287"/>
    <s v="Customer 0287"/>
    <s v="Consumer"/>
    <x v="3"/>
    <s v="Odisha"/>
    <s v="Bhubaneswar"/>
    <x v="2"/>
    <s v="Stationery"/>
    <x v="13"/>
    <n v="3"/>
    <n v="626.55999999999995"/>
    <n v="0.05"/>
    <n v="1785.7"/>
    <n v="537.94000000000005"/>
    <s v="Net Banking"/>
  </r>
  <r>
    <s v="ORD-00968"/>
    <x v="175"/>
    <s v="CUST-0043"/>
    <s v="Customer 0043"/>
    <s v="Corporate"/>
    <x v="2"/>
    <s v="Rajasthan"/>
    <s v="Jaipur"/>
    <x v="0"/>
    <s v="Tables"/>
    <x v="0"/>
    <n v="1"/>
    <n v="12308.58"/>
    <n v="0"/>
    <n v="12308.58"/>
    <n v="3417.27"/>
    <s v="UPI"/>
  </r>
  <r>
    <s v="ORD-00534"/>
    <x v="175"/>
    <s v="CUST-0226"/>
    <s v="Customer 0226"/>
    <s v="Small Business"/>
    <x v="1"/>
    <s v="Telangana"/>
    <s v="Hyderabad"/>
    <x v="2"/>
    <s v="Stationery"/>
    <x v="9"/>
    <n v="2"/>
    <n v="352.53"/>
    <n v="0.1"/>
    <n v="634.54999999999995"/>
    <n v="193.55"/>
    <s v="Cash"/>
  </r>
  <r>
    <s v="ORD-00240"/>
    <x v="175"/>
    <s v="CUST-0102"/>
    <s v="Customer 0102"/>
    <s v="Consumer"/>
    <x v="0"/>
    <s v="Maharashtra"/>
    <s v="Pune"/>
    <x v="1"/>
    <s v="Phones"/>
    <x v="11"/>
    <n v="2"/>
    <n v="18190.36"/>
    <n v="0.05"/>
    <n v="34561.68"/>
    <n v="6881.04"/>
    <s v="UPI"/>
  </r>
  <r>
    <s v="ORD-01154"/>
    <x v="175"/>
    <s v="CUST-0240"/>
    <s v="Customer 0240"/>
    <s v="Corporate"/>
    <x v="0"/>
    <s v="Gujarat"/>
    <s v="Ahmedabad"/>
    <x v="2"/>
    <s v="Stationery"/>
    <x v="9"/>
    <n v="2"/>
    <n v="356.27"/>
    <n v="0"/>
    <n v="712.54"/>
    <n v="231.33"/>
    <s v="Cash"/>
  </r>
  <r>
    <s v="ORD-01414"/>
    <x v="176"/>
    <s v="CUST-0028"/>
    <s v="Customer 0028"/>
    <s v="Consumer"/>
    <x v="1"/>
    <s v="Tamil Nadu"/>
    <s v="Chennai"/>
    <x v="2"/>
    <s v="Paper"/>
    <x v="6"/>
    <n v="2"/>
    <n v="467.12"/>
    <n v="0"/>
    <n v="934.24"/>
    <n v="149.76"/>
    <s v="Net Banking"/>
  </r>
  <r>
    <s v="ORD-00033"/>
    <x v="176"/>
    <s v="CUST-0039"/>
    <s v="Customer 0039"/>
    <s v="Consumer"/>
    <x v="0"/>
    <s v="Maharashtra"/>
    <s v="Pune"/>
    <x v="2"/>
    <s v="Paper"/>
    <x v="6"/>
    <n v="2"/>
    <n v="429.66"/>
    <n v="0.1"/>
    <n v="773.39"/>
    <n v="237.94"/>
    <s v="Cash"/>
  </r>
  <r>
    <s v="ORD-01015"/>
    <x v="176"/>
    <s v="CUST-0190"/>
    <s v="Customer 0190"/>
    <s v="Consumer"/>
    <x v="1"/>
    <s v="Tamil Nadu"/>
    <s v="Chennai"/>
    <x v="1"/>
    <s v="Phones"/>
    <x v="1"/>
    <n v="4"/>
    <n v="43043.26"/>
    <n v="0"/>
    <n v="172173.04"/>
    <n v="32063.99"/>
    <s v="UPI"/>
  </r>
  <r>
    <s v="ORD-01252"/>
    <x v="176"/>
    <s v="CUST-0286"/>
    <s v="Customer 0286"/>
    <s v="Small Business"/>
    <x v="2"/>
    <s v="Uttar Pradesh"/>
    <s v="Lucknow"/>
    <x v="1"/>
    <s v="Laptops"/>
    <x v="10"/>
    <n v="1"/>
    <n v="64633.91"/>
    <n v="0"/>
    <n v="64633.91"/>
    <n v="12867.74"/>
    <s v="Card"/>
  </r>
  <r>
    <s v="ORD-00897"/>
    <x v="176"/>
    <s v="CUST-0278"/>
    <s v="Customer 0278"/>
    <s v="Consumer"/>
    <x v="2"/>
    <s v="Rajasthan"/>
    <s v="Jaipur"/>
    <x v="1"/>
    <s v="Laptops"/>
    <x v="5"/>
    <n v="1"/>
    <n v="47279.34"/>
    <n v="0.05"/>
    <n v="44915.37"/>
    <n v="7616.18"/>
    <s v="Net Banking"/>
  </r>
  <r>
    <s v="ORD-01169"/>
    <x v="177"/>
    <s v="CUST-0021"/>
    <s v="Customer 0021"/>
    <s v="Corporate"/>
    <x v="3"/>
    <s v="Bihar"/>
    <s v="Patna"/>
    <x v="1"/>
    <s v="Accessories"/>
    <x v="8"/>
    <n v="5"/>
    <n v="1876.17"/>
    <n v="0.05"/>
    <n v="8911.81"/>
    <n v="894.27"/>
    <s v="Net Banking"/>
  </r>
  <r>
    <s v="ORD-00550"/>
    <x v="177"/>
    <s v="CUST-0080"/>
    <s v="Customer 0080"/>
    <s v="Consumer"/>
    <x v="1"/>
    <s v="Telangana"/>
    <s v="Hyderabad"/>
    <x v="0"/>
    <s v="Tables"/>
    <x v="12"/>
    <n v="3"/>
    <n v="6259.71"/>
    <n v="0"/>
    <n v="18779.13"/>
    <n v="4186.78"/>
    <s v="Net Banking"/>
  </r>
  <r>
    <s v="ORD-00481"/>
    <x v="177"/>
    <s v="CUST-0107"/>
    <s v="Customer 0107"/>
    <s v="Consumer"/>
    <x v="1"/>
    <s v="Telangana"/>
    <s v="Hyderabad"/>
    <x v="1"/>
    <s v="Accessories"/>
    <x v="3"/>
    <n v="1"/>
    <n v="1172.8900000000001"/>
    <n v="0.1"/>
    <n v="1055.5999999999999"/>
    <n v="176.68"/>
    <s v="UPI"/>
  </r>
  <r>
    <s v="ORD-00982"/>
    <x v="177"/>
    <s v="CUST-0013"/>
    <s v="Customer 0013"/>
    <s v="Corporate"/>
    <x v="2"/>
    <s v="Uttar Pradesh"/>
    <s v="Lucknow"/>
    <x v="0"/>
    <s v="Tables"/>
    <x v="12"/>
    <n v="1"/>
    <n v="6752.62"/>
    <n v="0"/>
    <n v="6752.62"/>
    <n v="1055.46"/>
    <s v="UPI"/>
  </r>
  <r>
    <s v="ORD-01130"/>
    <x v="177"/>
    <s v="CUST-0093"/>
    <s v="Customer 0093"/>
    <s v="Corporate"/>
    <x v="2"/>
    <s v="Rajasthan"/>
    <s v="Jaipur"/>
    <x v="1"/>
    <s v="Accessories"/>
    <x v="3"/>
    <n v="1"/>
    <n v="1231.3"/>
    <n v="0.15"/>
    <n v="1046.6099999999999"/>
    <n v="76.069999999999993"/>
    <s v="Cash"/>
  </r>
  <r>
    <s v="ORD-00264"/>
    <x v="177"/>
    <s v="CUST-0090"/>
    <s v="Customer 0090"/>
    <s v="Consumer"/>
    <x v="3"/>
    <s v="West Bengal"/>
    <s v="Kolkata"/>
    <x v="2"/>
    <s v="Stationery"/>
    <x v="13"/>
    <n v="1"/>
    <n v="616.88"/>
    <n v="0.1"/>
    <n v="555.19000000000005"/>
    <n v="139.9"/>
    <s v="Net Banking"/>
  </r>
  <r>
    <s v="ORD-00040"/>
    <x v="177"/>
    <s v="CUST-0099"/>
    <s v="Customer 0099"/>
    <s v="Corporate"/>
    <x v="1"/>
    <s v="Karnataka"/>
    <s v="Bengaluru"/>
    <x v="1"/>
    <s v="Accessories"/>
    <x v="3"/>
    <n v="2"/>
    <n v="1253.54"/>
    <n v="0"/>
    <n v="2507.08"/>
    <n v="474.79"/>
    <s v="Card"/>
  </r>
  <r>
    <s v="ORD-00193"/>
    <x v="178"/>
    <s v="CUST-0106"/>
    <s v="Customer 0106"/>
    <s v="Consumer"/>
    <x v="1"/>
    <s v="Karnataka"/>
    <s v="Bengaluru"/>
    <x v="0"/>
    <s v="Storage"/>
    <x v="4"/>
    <n v="1"/>
    <n v="15089.07"/>
    <n v="0"/>
    <n v="15089.07"/>
    <n v="2413.16"/>
    <s v="Cash"/>
  </r>
  <r>
    <s v="ORD-01203"/>
    <x v="178"/>
    <s v="CUST-0187"/>
    <s v="Customer 0187"/>
    <s v="Consumer"/>
    <x v="0"/>
    <s v="Gujarat"/>
    <s v="Ahmedabad"/>
    <x v="0"/>
    <s v="Tables"/>
    <x v="12"/>
    <n v="4"/>
    <n v="6529.93"/>
    <n v="0.1"/>
    <n v="23507.75"/>
    <n v="3840.69"/>
    <s v="Net Banking"/>
  </r>
  <r>
    <s v="ORD-00285"/>
    <x v="179"/>
    <s v="CUST-0073"/>
    <s v="Customer 0073"/>
    <s v="Consumer"/>
    <x v="1"/>
    <s v="Telangana"/>
    <s v="Hyderabad"/>
    <x v="0"/>
    <s v="Tables"/>
    <x v="12"/>
    <n v="1"/>
    <n v="6731.75"/>
    <n v="0.2"/>
    <n v="5385.4"/>
    <n v="946.94"/>
    <s v="Net Banking"/>
  </r>
  <r>
    <s v="ORD-00222"/>
    <x v="179"/>
    <s v="CUST-0192"/>
    <s v="Customer 0192"/>
    <s v="Consumer"/>
    <x v="1"/>
    <s v="Karnataka"/>
    <s v="Bengaluru"/>
    <x v="1"/>
    <s v="Laptops"/>
    <x v="10"/>
    <n v="1"/>
    <n v="64330.6"/>
    <n v="0.2"/>
    <n v="51464.480000000003"/>
    <n v="32.229999999999997"/>
    <s v="UPI"/>
  </r>
  <r>
    <s v="ORD-01113"/>
    <x v="179"/>
    <s v="CUST-0129"/>
    <s v="Customer 0129"/>
    <s v="Consumer"/>
    <x v="2"/>
    <s v="Rajasthan"/>
    <s v="Jaipur"/>
    <x v="2"/>
    <s v="Stationery"/>
    <x v="9"/>
    <n v="2"/>
    <n v="336.76"/>
    <n v="0"/>
    <n v="673.52"/>
    <n v="217.57"/>
    <s v="Cash"/>
  </r>
  <r>
    <s v="ORD-00872"/>
    <x v="179"/>
    <s v="CUST-0265"/>
    <s v="Customer 0265"/>
    <s v="Consumer"/>
    <x v="3"/>
    <s v="Odisha"/>
    <s v="Bhubaneswar"/>
    <x v="2"/>
    <s v="Stationery"/>
    <x v="9"/>
    <n v="2"/>
    <n v="365.86"/>
    <n v="0.1"/>
    <n v="658.55"/>
    <n v="146.77000000000001"/>
    <s v="Cash"/>
  </r>
  <r>
    <s v="ORD-01217"/>
    <x v="180"/>
    <s v="CUST-0246"/>
    <s v="Customer 0246"/>
    <s v="Small Business"/>
    <x v="0"/>
    <s v="Maharashtra"/>
    <s v="Mumbai"/>
    <x v="2"/>
    <s v="Storage"/>
    <x v="2"/>
    <n v="2"/>
    <n v="766.58"/>
    <n v="0.15"/>
    <n v="1303.19"/>
    <n v="315.87"/>
    <s v="Cash"/>
  </r>
  <r>
    <s v="ORD-00358"/>
    <x v="180"/>
    <s v="CUST-0210"/>
    <s v="Customer 0210"/>
    <s v="Small Business"/>
    <x v="1"/>
    <s v="Telangana"/>
    <s v="Hyderabad"/>
    <x v="2"/>
    <s v="Stationery"/>
    <x v="9"/>
    <n v="2"/>
    <n v="365.36"/>
    <n v="0.2"/>
    <n v="584.58000000000004"/>
    <n v="103.02"/>
    <s v="Net Banking"/>
  </r>
  <r>
    <s v="ORD-00909"/>
    <x v="181"/>
    <s v="CUST-0059"/>
    <s v="Customer 0059"/>
    <s v="Corporate"/>
    <x v="3"/>
    <s v="West Bengal"/>
    <s v="Kolkata"/>
    <x v="1"/>
    <s v="Accessories"/>
    <x v="3"/>
    <n v="2"/>
    <n v="1172.8"/>
    <n v="0"/>
    <n v="2345.6"/>
    <n v="491.29"/>
    <s v="Cash"/>
  </r>
  <r>
    <s v="ORD-01335"/>
    <x v="181"/>
    <s v="CUST-0242"/>
    <s v="Customer 0242"/>
    <s v="Consumer"/>
    <x v="2"/>
    <s v="Uttar Pradesh"/>
    <s v="Lucknow"/>
    <x v="1"/>
    <s v="Laptops"/>
    <x v="10"/>
    <n v="2"/>
    <n v="66293.399999999994"/>
    <n v="0"/>
    <n v="132586.79999999999"/>
    <n v="19075.740000000002"/>
    <s v="Cash"/>
  </r>
  <r>
    <s v="ORD-00554"/>
    <x v="181"/>
    <s v="CUST-0171"/>
    <s v="Customer 0171"/>
    <s v="Consumer"/>
    <x v="0"/>
    <s v="Maharashtra"/>
    <s v="Pune"/>
    <x v="2"/>
    <s v="Paper"/>
    <x v="6"/>
    <n v="4"/>
    <n v="438.88"/>
    <n v="0.1"/>
    <n v="1579.97"/>
    <n v="231.87"/>
    <s v="UPI"/>
  </r>
  <r>
    <s v="ORD-00130"/>
    <x v="182"/>
    <s v="CUST-0250"/>
    <s v="Customer 0250"/>
    <s v="Corporate"/>
    <x v="3"/>
    <s v="West Bengal"/>
    <s v="Kolkata"/>
    <x v="1"/>
    <s v="Phones"/>
    <x v="11"/>
    <n v="2"/>
    <n v="18721.259999999998"/>
    <n v="0.15"/>
    <n v="31826.14"/>
    <n v="3617.36"/>
    <s v="Card"/>
  </r>
  <r>
    <s v="ORD-00923"/>
    <x v="182"/>
    <s v="CUST-0065"/>
    <s v="Customer 0065"/>
    <s v="Consumer"/>
    <x v="3"/>
    <s v="Bihar"/>
    <s v="Patna"/>
    <x v="1"/>
    <s v="Laptops"/>
    <x v="5"/>
    <n v="2"/>
    <n v="49046.1"/>
    <n v="0.05"/>
    <n v="93187.59"/>
    <n v="16620.88"/>
    <s v="Card"/>
  </r>
  <r>
    <s v="ORD-00539"/>
    <x v="182"/>
    <s v="CUST-0047"/>
    <s v="Customer 0047"/>
    <s v="Small Business"/>
    <x v="2"/>
    <s v="Delhi"/>
    <s v="Delhi"/>
    <x v="1"/>
    <s v="Phones"/>
    <x v="1"/>
    <n v="2"/>
    <n v="40223.269999999997"/>
    <n v="0.05"/>
    <n v="76424.210000000006"/>
    <n v="12124.04"/>
    <s v="Card"/>
  </r>
  <r>
    <s v="ORD-00705"/>
    <x v="182"/>
    <s v="CUST-0204"/>
    <s v="Customer 0204"/>
    <s v="Consumer"/>
    <x v="2"/>
    <s v="Delhi"/>
    <s v="Delhi"/>
    <x v="1"/>
    <s v="Accessories"/>
    <x v="8"/>
    <n v="2"/>
    <n v="1722.24"/>
    <n v="0.1"/>
    <n v="3100.03"/>
    <n v="284.48"/>
    <s v="Cash"/>
  </r>
  <r>
    <s v="ORD-00357"/>
    <x v="182"/>
    <s v="CUST-0164"/>
    <s v="Customer 0164"/>
    <s v="Small Business"/>
    <x v="1"/>
    <s v="Karnataka"/>
    <s v="Bengaluru"/>
    <x v="2"/>
    <s v="Stationery"/>
    <x v="13"/>
    <n v="1"/>
    <n v="612.37"/>
    <n v="0.1"/>
    <n v="551.13"/>
    <n v="132.15"/>
    <s v="Net Banking"/>
  </r>
  <r>
    <s v="ORD-00328"/>
    <x v="183"/>
    <s v="CUST-0061"/>
    <s v="Customer 0061"/>
    <s v="Small Business"/>
    <x v="3"/>
    <s v="West Bengal"/>
    <s v="Kolkata"/>
    <x v="2"/>
    <s v="Stationery"/>
    <x v="13"/>
    <n v="5"/>
    <n v="572.41999999999996"/>
    <n v="0"/>
    <n v="2862.1"/>
    <n v="664.69"/>
    <s v="UPI"/>
  </r>
  <r>
    <s v="ORD-01317"/>
    <x v="183"/>
    <s v="CUST-0279"/>
    <s v="Customer 0279"/>
    <s v="Consumer"/>
    <x v="1"/>
    <s v="Karnataka"/>
    <s v="Bengaluru"/>
    <x v="2"/>
    <s v="Paper"/>
    <x v="6"/>
    <n v="3"/>
    <n v="454.9"/>
    <n v="0"/>
    <n v="1364.7"/>
    <n v="392.43"/>
    <s v="Net Banking"/>
  </r>
  <r>
    <s v="ORD-01340"/>
    <x v="183"/>
    <s v="CUST-0208"/>
    <s v="Customer 0208"/>
    <s v="Corporate"/>
    <x v="3"/>
    <s v="Bihar"/>
    <s v="Patna"/>
    <x v="0"/>
    <s v="Tables"/>
    <x v="12"/>
    <n v="2"/>
    <n v="6801.02"/>
    <n v="0"/>
    <n v="13602.04"/>
    <n v="1899.66"/>
    <s v="Card"/>
  </r>
  <r>
    <s v="ORD-01337"/>
    <x v="183"/>
    <s v="CUST-0010"/>
    <s v="Customer 0010"/>
    <s v="Small Business"/>
    <x v="0"/>
    <s v="Maharashtra"/>
    <s v="Mumbai"/>
    <x v="0"/>
    <s v="Tables"/>
    <x v="0"/>
    <n v="3"/>
    <n v="12358.5"/>
    <n v="0.1"/>
    <n v="33367.949999999997"/>
    <n v="4527.6099999999997"/>
    <s v="UPI"/>
  </r>
  <r>
    <s v="ORD-00326"/>
    <x v="183"/>
    <s v="CUST-0096"/>
    <s v="Customer 0096"/>
    <s v="Consumer"/>
    <x v="1"/>
    <s v="Karnataka"/>
    <s v="Bengaluru"/>
    <x v="1"/>
    <s v="Accessories"/>
    <x v="3"/>
    <n v="2"/>
    <n v="1220.02"/>
    <n v="0"/>
    <n v="2440.04"/>
    <n v="305.55"/>
    <s v="Net Banking"/>
  </r>
  <r>
    <s v="ORD-00396"/>
    <x v="183"/>
    <s v="CUST-0217"/>
    <s v="Customer 0217"/>
    <s v="Consumer"/>
    <x v="1"/>
    <s v="Tamil Nadu"/>
    <s v="Chennai"/>
    <x v="2"/>
    <s v="Storage"/>
    <x v="2"/>
    <n v="4"/>
    <n v="756.09"/>
    <n v="0.1"/>
    <n v="2721.92"/>
    <n v="467.68"/>
    <s v="UPI"/>
  </r>
  <r>
    <s v="ORD-01404"/>
    <x v="184"/>
    <s v="CUST-0222"/>
    <s v="Customer 0222"/>
    <s v="Consumer"/>
    <x v="1"/>
    <s v="Tamil Nadu"/>
    <s v="Chennai"/>
    <x v="2"/>
    <s v="Paper"/>
    <x v="6"/>
    <n v="1"/>
    <n v="439.34"/>
    <n v="0.1"/>
    <n v="395.41"/>
    <n v="85.29"/>
    <s v="Net Banking"/>
  </r>
  <r>
    <s v="ORD-00841"/>
    <x v="184"/>
    <s v="CUST-0287"/>
    <s v="Customer 0287"/>
    <s v="Corporate"/>
    <x v="1"/>
    <s v="Karnataka"/>
    <s v="Bengaluru"/>
    <x v="1"/>
    <s v="Laptops"/>
    <x v="5"/>
    <n v="5"/>
    <n v="48592.27"/>
    <n v="0.15"/>
    <n v="206517.15"/>
    <n v="31015.759999999998"/>
    <s v="Cash"/>
  </r>
  <r>
    <s v="ORD-00244"/>
    <x v="184"/>
    <s v="CUST-0135"/>
    <s v="Customer 0135"/>
    <s v="Consumer"/>
    <x v="3"/>
    <s v="Bihar"/>
    <s v="Patna"/>
    <x v="0"/>
    <s v="Storage"/>
    <x v="4"/>
    <n v="1"/>
    <n v="13875.09"/>
    <n v="0.1"/>
    <n v="12487.58"/>
    <n v="1092.4000000000001"/>
    <s v="Net Banking"/>
  </r>
  <r>
    <s v="ORD-00963"/>
    <x v="185"/>
    <s v="CUST-0145"/>
    <s v="Customer 0145"/>
    <s v="Consumer"/>
    <x v="1"/>
    <s v="Telangana"/>
    <s v="Hyderabad"/>
    <x v="0"/>
    <s v="Tables"/>
    <x v="12"/>
    <n v="3"/>
    <n v="6732.48"/>
    <n v="0"/>
    <n v="20197.439999999999"/>
    <n v="5324.07"/>
    <s v="Net Banking"/>
  </r>
  <r>
    <s v="ORD-01221"/>
    <x v="185"/>
    <s v="CUST-0034"/>
    <s v="Customer 0034"/>
    <s v="Consumer"/>
    <x v="1"/>
    <s v="Telangana"/>
    <s v="Hyderabad"/>
    <x v="1"/>
    <s v="Phones"/>
    <x v="11"/>
    <n v="2"/>
    <n v="18279.04"/>
    <n v="0.1"/>
    <n v="32902.269999999997"/>
    <n v="4071.8"/>
    <s v="Cash"/>
  </r>
  <r>
    <s v="ORD-01143"/>
    <x v="185"/>
    <s v="CUST-0180"/>
    <s v="Customer 0180"/>
    <s v="Corporate"/>
    <x v="0"/>
    <s v="Maharashtra"/>
    <s v="Mumbai"/>
    <x v="2"/>
    <s v="Paper"/>
    <x v="6"/>
    <n v="1"/>
    <n v="443.56"/>
    <n v="0.1"/>
    <n v="399.2"/>
    <n v="111.57"/>
    <s v="UPI"/>
  </r>
  <r>
    <s v="ORD-00973"/>
    <x v="186"/>
    <s v="CUST-0273"/>
    <s v="Customer 0273"/>
    <s v="Consumer"/>
    <x v="3"/>
    <s v="Bihar"/>
    <s v="Patna"/>
    <x v="2"/>
    <s v="Paper"/>
    <x v="6"/>
    <n v="1"/>
    <n v="454.81"/>
    <n v="0.1"/>
    <n v="409.33"/>
    <n v="93.15"/>
    <s v="Card"/>
  </r>
  <r>
    <s v="ORD-00598"/>
    <x v="186"/>
    <s v="CUST-0286"/>
    <s v="Customer 0286"/>
    <s v="Consumer"/>
    <x v="2"/>
    <s v="Delhi"/>
    <s v="Delhi"/>
    <x v="1"/>
    <s v="Laptops"/>
    <x v="10"/>
    <n v="2"/>
    <n v="66823.72"/>
    <n v="0"/>
    <n v="133647.44"/>
    <n v="17457.7"/>
    <s v="Cash"/>
  </r>
  <r>
    <s v="ORD-01409"/>
    <x v="186"/>
    <s v="CUST-0190"/>
    <s v="Customer 0190"/>
    <s v="Consumer"/>
    <x v="2"/>
    <s v="Rajasthan"/>
    <s v="Jaipur"/>
    <x v="2"/>
    <s v="Stationery"/>
    <x v="9"/>
    <n v="2"/>
    <n v="337.43"/>
    <n v="0.1"/>
    <n v="607.37"/>
    <n v="134"/>
    <s v="UPI"/>
  </r>
  <r>
    <s v="ORD-01119"/>
    <x v="186"/>
    <s v="CUST-0283"/>
    <s v="Customer 0283"/>
    <s v="Consumer"/>
    <x v="1"/>
    <s v="Telangana"/>
    <s v="Hyderabad"/>
    <x v="1"/>
    <s v="Laptops"/>
    <x v="5"/>
    <n v="3"/>
    <n v="46402.080000000002"/>
    <n v="0.05"/>
    <n v="132245.93"/>
    <n v="9899.08"/>
    <s v="UPI"/>
  </r>
  <r>
    <s v="ORD-00372"/>
    <x v="186"/>
    <s v="CUST-0128"/>
    <s v="Customer 0128"/>
    <s v="Corporate"/>
    <x v="1"/>
    <s v="Karnataka"/>
    <s v="Bengaluru"/>
    <x v="1"/>
    <s v="Accessories"/>
    <x v="8"/>
    <n v="1"/>
    <n v="1742.72"/>
    <n v="0.05"/>
    <n v="1655.58"/>
    <n v="143.38999999999999"/>
    <s v="Net Banking"/>
  </r>
  <r>
    <s v="ORD-00622"/>
    <x v="186"/>
    <s v="CUST-0045"/>
    <s v="Customer 0045"/>
    <s v="Consumer"/>
    <x v="0"/>
    <s v="Maharashtra"/>
    <s v="Mumbai"/>
    <x v="2"/>
    <s v="Stationery"/>
    <x v="13"/>
    <n v="1"/>
    <n v="615.98"/>
    <n v="0.2"/>
    <n v="492.78"/>
    <n v="108.61"/>
    <s v="Cash"/>
  </r>
  <r>
    <s v="ORD-00939"/>
    <x v="187"/>
    <s v="CUST-0255"/>
    <s v="Customer 0255"/>
    <s v="Consumer"/>
    <x v="0"/>
    <s v="Maharashtra"/>
    <s v="Mumbai"/>
    <x v="0"/>
    <s v="Tables"/>
    <x v="12"/>
    <n v="3"/>
    <n v="6472.35"/>
    <n v="0.05"/>
    <n v="18446.2"/>
    <n v="3457.39"/>
    <s v="Card"/>
  </r>
  <r>
    <s v="ORD-00591"/>
    <x v="187"/>
    <s v="CUST-0136"/>
    <s v="Customer 0136"/>
    <s v="Small Business"/>
    <x v="0"/>
    <s v="Maharashtra"/>
    <s v="Pune"/>
    <x v="2"/>
    <s v="Stationery"/>
    <x v="13"/>
    <n v="3"/>
    <n v="600.74"/>
    <n v="0"/>
    <n v="1802.22"/>
    <n v="446"/>
    <s v="Net Banking"/>
  </r>
  <r>
    <s v="ORD-01325"/>
    <x v="188"/>
    <s v="CUST-0279"/>
    <s v="Customer 0279"/>
    <s v="Consumer"/>
    <x v="2"/>
    <s v="Rajasthan"/>
    <s v="Jaipur"/>
    <x v="2"/>
    <s v="Stationery"/>
    <x v="13"/>
    <n v="3"/>
    <n v="575.70000000000005"/>
    <n v="0.1"/>
    <n v="1554.39"/>
    <n v="278.16000000000003"/>
    <s v="UPI"/>
  </r>
  <r>
    <s v="ORD-00873"/>
    <x v="188"/>
    <s v="CUST-0119"/>
    <s v="Customer 0119"/>
    <s v="Consumer"/>
    <x v="2"/>
    <s v="Rajasthan"/>
    <s v="Jaipur"/>
    <x v="0"/>
    <s v="Tables"/>
    <x v="0"/>
    <n v="1"/>
    <n v="12253.36"/>
    <n v="0.2"/>
    <n v="9802.69"/>
    <n v="1159.17"/>
    <s v="Cash"/>
  </r>
  <r>
    <s v="ORD-00115"/>
    <x v="188"/>
    <s v="CUST-0012"/>
    <s v="Customer 0012"/>
    <s v="Consumer"/>
    <x v="2"/>
    <s v="Uttar Pradesh"/>
    <s v="Lucknow"/>
    <x v="1"/>
    <s v="Laptops"/>
    <x v="10"/>
    <n v="2"/>
    <n v="65785.95"/>
    <n v="0.05"/>
    <n v="124993.3"/>
    <n v="8813.24"/>
    <s v="Cash"/>
  </r>
  <r>
    <s v="ORD-00140"/>
    <x v="188"/>
    <s v="CUST-0289"/>
    <s v="Customer 0289"/>
    <s v="Corporate"/>
    <x v="3"/>
    <s v="West Bengal"/>
    <s v="Kolkata"/>
    <x v="2"/>
    <s v="Stationery"/>
    <x v="9"/>
    <n v="5"/>
    <n v="355.84"/>
    <n v="0.15"/>
    <n v="1512.32"/>
    <n v="358.97"/>
    <s v="Card"/>
  </r>
  <r>
    <s v="ORD-01146"/>
    <x v="188"/>
    <s v="CUST-0009"/>
    <s v="Customer 0009"/>
    <s v="Consumer"/>
    <x v="2"/>
    <s v="Uttar Pradesh"/>
    <s v="Lucknow"/>
    <x v="0"/>
    <s v="Storage"/>
    <x v="4"/>
    <n v="1"/>
    <n v="14587.55"/>
    <n v="0.05"/>
    <n v="13858.17"/>
    <n v="2359.21"/>
    <s v="UPI"/>
  </r>
  <r>
    <s v="ORD-00450"/>
    <x v="188"/>
    <s v="CUST-0241"/>
    <s v="Customer 0241"/>
    <s v="Consumer"/>
    <x v="2"/>
    <s v="Rajasthan"/>
    <s v="Jaipur"/>
    <x v="1"/>
    <s v="Phones"/>
    <x v="11"/>
    <n v="1"/>
    <n v="18049.61"/>
    <n v="0.05"/>
    <n v="17147.13"/>
    <n v="1662.08"/>
    <s v="UPI"/>
  </r>
  <r>
    <s v="ORD-01255"/>
    <x v="188"/>
    <s v="CUST-0067"/>
    <s v="Customer 0067"/>
    <s v="Corporate"/>
    <x v="2"/>
    <s v="Delhi"/>
    <s v="Delhi"/>
    <x v="1"/>
    <s v="Accessories"/>
    <x v="3"/>
    <n v="1"/>
    <n v="1216.6500000000001"/>
    <n v="0.2"/>
    <n v="973.32"/>
    <n v="147.54"/>
    <s v="UPI"/>
  </r>
  <r>
    <s v="ORD-01285"/>
    <x v="189"/>
    <s v="CUST-0041"/>
    <s v="Customer 0041"/>
    <s v="Corporate"/>
    <x v="2"/>
    <s v="Uttar Pradesh"/>
    <s v="Lucknow"/>
    <x v="2"/>
    <s v="Stationery"/>
    <x v="13"/>
    <n v="4"/>
    <n v="610.77"/>
    <n v="0.05"/>
    <n v="2320.9299999999998"/>
    <n v="638.01"/>
    <s v="UPI"/>
  </r>
  <r>
    <s v="ORD-00093"/>
    <x v="189"/>
    <s v="CUST-0173"/>
    <s v="Customer 0173"/>
    <s v="Small Business"/>
    <x v="1"/>
    <s v="Karnataka"/>
    <s v="Bengaluru"/>
    <x v="0"/>
    <s v="Tables"/>
    <x v="12"/>
    <n v="2"/>
    <n v="6449.32"/>
    <n v="0.15"/>
    <n v="10963.84"/>
    <n v="1377.84"/>
    <s v="Cash"/>
  </r>
  <r>
    <s v="ORD-00875"/>
    <x v="189"/>
    <s v="CUST-0268"/>
    <s v="Customer 0268"/>
    <s v="Corporate"/>
    <x v="1"/>
    <s v="Telangana"/>
    <s v="Hyderabad"/>
    <x v="1"/>
    <s v="Laptops"/>
    <x v="5"/>
    <n v="3"/>
    <n v="47222.26"/>
    <n v="0"/>
    <n v="141666.78"/>
    <n v="20651.95"/>
    <s v="Cash"/>
  </r>
  <r>
    <s v="ORD-00287"/>
    <x v="189"/>
    <s v="CUST-0247"/>
    <s v="Customer 0247"/>
    <s v="Consumer"/>
    <x v="0"/>
    <s v="Maharashtra"/>
    <s v="Pune"/>
    <x v="2"/>
    <s v="Storage"/>
    <x v="2"/>
    <n v="3"/>
    <n v="753.48"/>
    <n v="0.15"/>
    <n v="1921.37"/>
    <n v="627.27"/>
    <s v="UPI"/>
  </r>
  <r>
    <s v="ORD-00775"/>
    <x v="189"/>
    <s v="CUST-0192"/>
    <s v="Customer 0192"/>
    <s v="Small Business"/>
    <x v="3"/>
    <s v="West Bengal"/>
    <s v="Kolkata"/>
    <x v="1"/>
    <s v="Laptops"/>
    <x v="10"/>
    <n v="4"/>
    <n v="66586.820000000007"/>
    <n v="0"/>
    <n v="266347.28000000003"/>
    <n v="51354.69"/>
    <s v="Net Banking"/>
  </r>
  <r>
    <s v="ORD-01033"/>
    <x v="189"/>
    <s v="CUST-0056"/>
    <s v="Customer 0056"/>
    <s v="Consumer"/>
    <x v="3"/>
    <s v="Odisha"/>
    <s v="Bhubaneswar"/>
    <x v="0"/>
    <s v="Tables"/>
    <x v="12"/>
    <n v="1"/>
    <n v="6182.25"/>
    <n v="0"/>
    <n v="6182.25"/>
    <n v="981.57"/>
    <s v="Card"/>
  </r>
  <r>
    <s v="ORD-00995"/>
    <x v="189"/>
    <s v="CUST-0054"/>
    <s v="Customer 0054"/>
    <s v="Small Business"/>
    <x v="0"/>
    <s v="Gujarat"/>
    <s v="Ahmedabad"/>
    <x v="2"/>
    <s v="Storage"/>
    <x v="2"/>
    <n v="1"/>
    <n v="771.49"/>
    <n v="0.05"/>
    <n v="732.92"/>
    <n v="248.48"/>
    <s v="Net Banking"/>
  </r>
  <r>
    <s v="ORD-01263"/>
    <x v="190"/>
    <s v="CUST-0189"/>
    <s v="Customer 0189"/>
    <s v="Small Business"/>
    <x v="3"/>
    <s v="Bihar"/>
    <s v="Patna"/>
    <x v="2"/>
    <s v="Storage"/>
    <x v="2"/>
    <n v="1"/>
    <n v="737.23"/>
    <n v="0"/>
    <n v="737.23"/>
    <n v="178.65"/>
    <s v="Net Banking"/>
  </r>
  <r>
    <s v="ORD-00758"/>
    <x v="190"/>
    <s v="CUST-0146"/>
    <s v="Customer 0146"/>
    <s v="Small Business"/>
    <x v="3"/>
    <s v="Odisha"/>
    <s v="Bhubaneswar"/>
    <x v="1"/>
    <s v="Laptops"/>
    <x v="5"/>
    <n v="1"/>
    <n v="49327.14"/>
    <n v="0.1"/>
    <n v="44394.43"/>
    <n v="7398.9"/>
    <s v="Cash"/>
  </r>
  <r>
    <s v="ORD-01227"/>
    <x v="191"/>
    <s v="CUST-0204"/>
    <s v="Customer 0204"/>
    <s v="Corporate"/>
    <x v="0"/>
    <s v="Gujarat"/>
    <s v="Ahmedabad"/>
    <x v="2"/>
    <s v="Paper"/>
    <x v="6"/>
    <n v="1"/>
    <n v="468.32"/>
    <n v="0.15"/>
    <n v="398.07"/>
    <n v="95.5"/>
    <s v="Card"/>
  </r>
  <r>
    <s v="ORD-00504"/>
    <x v="191"/>
    <s v="CUST-0098"/>
    <s v="Customer 0098"/>
    <s v="Small Business"/>
    <x v="0"/>
    <s v="Gujarat"/>
    <s v="Ahmedabad"/>
    <x v="2"/>
    <s v="Stationery"/>
    <x v="13"/>
    <n v="2"/>
    <n v="602.16999999999996"/>
    <n v="0.05"/>
    <n v="1144.1199999999999"/>
    <n v="323.7"/>
    <s v="Card"/>
  </r>
  <r>
    <s v="ORD-01349"/>
    <x v="191"/>
    <s v="CUST-0047"/>
    <s v="Customer 0047"/>
    <s v="Consumer"/>
    <x v="1"/>
    <s v="Telangana"/>
    <s v="Hyderabad"/>
    <x v="0"/>
    <s v="Chairs"/>
    <x v="7"/>
    <n v="3"/>
    <n v="8101.26"/>
    <n v="0.1"/>
    <n v="21873.4"/>
    <n v="2964.69"/>
    <s v="Net Banking"/>
  </r>
  <r>
    <s v="ORD-00036"/>
    <x v="192"/>
    <s v="CUST-0035"/>
    <s v="Customer 0035"/>
    <s v="Consumer"/>
    <x v="2"/>
    <s v="Uttar Pradesh"/>
    <s v="Lucknow"/>
    <x v="1"/>
    <s v="Laptops"/>
    <x v="5"/>
    <n v="3"/>
    <n v="48871.75"/>
    <n v="0.05"/>
    <n v="139284.49"/>
    <n v="16634.57"/>
    <s v="Card"/>
  </r>
  <r>
    <s v="ORD-00925"/>
    <x v="192"/>
    <s v="CUST-0237"/>
    <s v="Customer 0237"/>
    <s v="Consumer"/>
    <x v="1"/>
    <s v="Tamil Nadu"/>
    <s v="Chennai"/>
    <x v="1"/>
    <s v="Laptops"/>
    <x v="5"/>
    <n v="4"/>
    <n v="45864.18"/>
    <n v="0"/>
    <n v="183456.72"/>
    <n v="19488.43"/>
    <s v="Cash"/>
  </r>
  <r>
    <s v="ORD-01208"/>
    <x v="192"/>
    <s v="CUST-0100"/>
    <s v="Customer 0100"/>
    <s v="Consumer"/>
    <x v="1"/>
    <s v="Telangana"/>
    <s v="Hyderabad"/>
    <x v="1"/>
    <s v="Accessories"/>
    <x v="3"/>
    <n v="2"/>
    <n v="1140.1400000000001"/>
    <n v="0"/>
    <n v="2280.2800000000002"/>
    <n v="379.11"/>
    <s v="UPI"/>
  </r>
  <r>
    <s v="ORD-00676"/>
    <x v="192"/>
    <s v="CUST-0193"/>
    <s v="Customer 0193"/>
    <s v="Consumer"/>
    <x v="0"/>
    <s v="Maharashtra"/>
    <s v="Pune"/>
    <x v="1"/>
    <s v="Phones"/>
    <x v="11"/>
    <n v="4"/>
    <n v="17823.259999999998"/>
    <n v="0.1"/>
    <n v="64163.74"/>
    <n v="4001.56"/>
    <s v="UPI"/>
  </r>
  <r>
    <s v="ORD-00456"/>
    <x v="192"/>
    <s v="CUST-0295"/>
    <s v="Customer 0295"/>
    <s v="Small Business"/>
    <x v="1"/>
    <s v="Karnataka"/>
    <s v="Bengaluru"/>
    <x v="2"/>
    <s v="Stationery"/>
    <x v="13"/>
    <n v="4"/>
    <n v="610.29999999999995"/>
    <n v="0.15"/>
    <n v="2075.02"/>
    <n v="251.67"/>
    <s v="Cash"/>
  </r>
  <r>
    <s v="ORD-00776"/>
    <x v="192"/>
    <s v="CUST-0083"/>
    <s v="Customer 0083"/>
    <s v="Consumer"/>
    <x v="0"/>
    <s v="Maharashtra"/>
    <s v="Pune"/>
    <x v="0"/>
    <s v="Tables"/>
    <x v="12"/>
    <n v="5"/>
    <n v="6695.89"/>
    <n v="0.1"/>
    <n v="30131.51"/>
    <n v="4978.1400000000003"/>
    <s v="UPI"/>
  </r>
  <r>
    <s v="ORD-00794"/>
    <x v="193"/>
    <s v="CUST-0086"/>
    <s v="Customer 0086"/>
    <s v="Consumer"/>
    <x v="0"/>
    <s v="Maharashtra"/>
    <s v="Mumbai"/>
    <x v="0"/>
    <s v="Storage"/>
    <x v="4"/>
    <n v="3"/>
    <n v="13810.42"/>
    <n v="0.1"/>
    <n v="37288.129999999997"/>
    <n v="6247.85"/>
    <s v="Cash"/>
  </r>
  <r>
    <s v="ORD-00364"/>
    <x v="193"/>
    <s v="CUST-0061"/>
    <s v="Customer 0061"/>
    <s v="Corporate"/>
    <x v="2"/>
    <s v="Uttar Pradesh"/>
    <s v="Lucknow"/>
    <x v="2"/>
    <s v="Stationery"/>
    <x v="13"/>
    <n v="1"/>
    <n v="591.69000000000005"/>
    <n v="0"/>
    <n v="591.69000000000005"/>
    <n v="99.66"/>
    <s v="UPI"/>
  </r>
  <r>
    <s v="ORD-00783"/>
    <x v="193"/>
    <s v="CUST-0123"/>
    <s v="Customer 0123"/>
    <s v="Small Business"/>
    <x v="3"/>
    <s v="West Bengal"/>
    <s v="Kolkata"/>
    <x v="0"/>
    <s v="Storage"/>
    <x v="4"/>
    <n v="4"/>
    <n v="14903.64"/>
    <n v="0"/>
    <n v="59614.559999999998"/>
    <n v="12958.5"/>
    <s v="Net Banking"/>
  </r>
  <r>
    <s v="ORD-00722"/>
    <x v="193"/>
    <s v="CUST-0097"/>
    <s v="Customer 0097"/>
    <s v="Small Business"/>
    <x v="3"/>
    <s v="West Bengal"/>
    <s v="Kolkata"/>
    <x v="0"/>
    <s v="Chairs"/>
    <x v="7"/>
    <n v="1"/>
    <n v="8536.4500000000007"/>
    <n v="0.1"/>
    <n v="7682.81"/>
    <n v="1844.92"/>
    <s v="Card"/>
  </r>
  <r>
    <s v="ORD-00822"/>
    <x v="193"/>
    <s v="CUST-0293"/>
    <s v="Customer 0293"/>
    <s v="Consumer"/>
    <x v="1"/>
    <s v="Telangana"/>
    <s v="Hyderabad"/>
    <x v="0"/>
    <s v="Tables"/>
    <x v="12"/>
    <n v="1"/>
    <n v="6751.92"/>
    <n v="0"/>
    <n v="6751.92"/>
    <n v="1318.8"/>
    <s v="Card"/>
  </r>
  <r>
    <s v="ORD-01121"/>
    <x v="194"/>
    <s v="CUST-0288"/>
    <s v="Customer 0288"/>
    <s v="Consumer"/>
    <x v="2"/>
    <s v="Delhi"/>
    <s v="Delhi"/>
    <x v="2"/>
    <s v="Paper"/>
    <x v="6"/>
    <n v="2"/>
    <n v="440.17"/>
    <n v="0.1"/>
    <n v="792.31"/>
    <n v="120.35"/>
    <s v="UPI"/>
  </r>
  <r>
    <s v="ORD-01222"/>
    <x v="194"/>
    <s v="CUST-0031"/>
    <s v="Customer 0031"/>
    <s v="Consumer"/>
    <x v="0"/>
    <s v="Maharashtra"/>
    <s v="Pune"/>
    <x v="0"/>
    <s v="Tables"/>
    <x v="0"/>
    <n v="1"/>
    <n v="11461.99"/>
    <n v="0.1"/>
    <n v="10315.790000000001"/>
    <n v="1496.6"/>
    <s v="Net Banking"/>
  </r>
  <r>
    <s v="ORD-01115"/>
    <x v="195"/>
    <s v="CUST-0299"/>
    <s v="Customer 0299"/>
    <s v="Consumer"/>
    <x v="2"/>
    <s v="Rajasthan"/>
    <s v="Jaipur"/>
    <x v="1"/>
    <s v="Phones"/>
    <x v="11"/>
    <n v="1"/>
    <n v="17280.41"/>
    <n v="0.05"/>
    <n v="16416.39"/>
    <n v="2908.36"/>
    <s v="UPI"/>
  </r>
  <r>
    <s v="ORD-01052"/>
    <x v="195"/>
    <s v="CUST-0013"/>
    <s v="Customer 0013"/>
    <s v="Corporate"/>
    <x v="1"/>
    <s v="Karnataka"/>
    <s v="Bengaluru"/>
    <x v="1"/>
    <s v="Accessories"/>
    <x v="3"/>
    <n v="1"/>
    <n v="1243.0899999999999"/>
    <n v="0.15"/>
    <n v="1056.6300000000001"/>
    <n v="75.819999999999993"/>
    <s v="Net Banking"/>
  </r>
  <r>
    <s v="ORD-01387"/>
    <x v="195"/>
    <s v="CUST-0201"/>
    <s v="Customer 0201"/>
    <s v="Corporate"/>
    <x v="0"/>
    <s v="Gujarat"/>
    <s v="Ahmedabad"/>
    <x v="2"/>
    <s v="Stationery"/>
    <x v="13"/>
    <n v="2"/>
    <n v="570.51"/>
    <n v="0.05"/>
    <n v="1083.97"/>
    <n v="336.71"/>
    <s v="Net Banking"/>
  </r>
  <r>
    <s v="ORD-01234"/>
    <x v="195"/>
    <s v="CUST-0006"/>
    <s v="Customer 0006"/>
    <s v="Corporate"/>
    <x v="0"/>
    <s v="Maharashtra"/>
    <s v="Mumbai"/>
    <x v="1"/>
    <s v="Laptops"/>
    <x v="10"/>
    <n v="5"/>
    <n v="67940.73"/>
    <n v="0.05"/>
    <n v="322718.46999999997"/>
    <n v="59482.99"/>
    <s v="Net Banking"/>
  </r>
  <r>
    <s v="ORD-01195"/>
    <x v="195"/>
    <s v="CUST-0028"/>
    <s v="Customer 0028"/>
    <s v="Small Business"/>
    <x v="2"/>
    <s v="Delhi"/>
    <s v="Delhi"/>
    <x v="1"/>
    <s v="Laptops"/>
    <x v="10"/>
    <n v="3"/>
    <n v="67994.8"/>
    <n v="0.1"/>
    <n v="183585.96"/>
    <n v="12547.39"/>
    <s v="Net Banking"/>
  </r>
  <r>
    <s v="ORD-00347"/>
    <x v="196"/>
    <s v="CUST-0220"/>
    <s v="Customer 0220"/>
    <s v="Consumer"/>
    <x v="2"/>
    <s v="Rajasthan"/>
    <s v="Jaipur"/>
    <x v="0"/>
    <s v="Tables"/>
    <x v="0"/>
    <n v="4"/>
    <n v="11887.87"/>
    <n v="0.05"/>
    <n v="45173.91"/>
    <n v="11382.13"/>
    <s v="Cash"/>
  </r>
  <r>
    <s v="ORD-01373"/>
    <x v="196"/>
    <s v="CUST-0040"/>
    <s v="Customer 0040"/>
    <s v="Small Business"/>
    <x v="3"/>
    <s v="Odisha"/>
    <s v="Bhubaneswar"/>
    <x v="2"/>
    <s v="Stationery"/>
    <x v="13"/>
    <n v="2"/>
    <n v="626.86"/>
    <n v="0"/>
    <n v="1253.72"/>
    <n v="409.28"/>
    <s v="Cash"/>
  </r>
  <r>
    <s v="ORD-00090"/>
    <x v="197"/>
    <s v="CUST-0128"/>
    <s v="Customer 0128"/>
    <s v="Consumer"/>
    <x v="1"/>
    <s v="Tamil Nadu"/>
    <s v="Chennai"/>
    <x v="0"/>
    <s v="Chairs"/>
    <x v="7"/>
    <n v="2"/>
    <n v="8705.43"/>
    <n v="0.1"/>
    <n v="15669.77"/>
    <n v="3318.1"/>
    <s v="Card"/>
  </r>
  <r>
    <s v="ORD-00518"/>
    <x v="197"/>
    <s v="CUST-0082"/>
    <s v="Customer 0082"/>
    <s v="Small Business"/>
    <x v="3"/>
    <s v="Bihar"/>
    <s v="Patna"/>
    <x v="1"/>
    <s v="Laptops"/>
    <x v="10"/>
    <n v="2"/>
    <n v="64168.28"/>
    <n v="0.1"/>
    <n v="115502.9"/>
    <n v="8257.93"/>
    <s v="Card"/>
  </r>
  <r>
    <s v="ORD-01353"/>
    <x v="197"/>
    <s v="CUST-0161"/>
    <s v="Customer 0161"/>
    <s v="Consumer"/>
    <x v="0"/>
    <s v="Maharashtra"/>
    <s v="Mumbai"/>
    <x v="0"/>
    <s v="Storage"/>
    <x v="4"/>
    <n v="2"/>
    <n v="14051.62"/>
    <n v="0"/>
    <n v="28103.24"/>
    <n v="4815.6499999999996"/>
    <s v="Net Banking"/>
  </r>
  <r>
    <s v="ORD-00865"/>
    <x v="197"/>
    <s v="CUST-0020"/>
    <s v="Customer 0020"/>
    <s v="Consumer"/>
    <x v="0"/>
    <s v="Maharashtra"/>
    <s v="Mumbai"/>
    <x v="1"/>
    <s v="Laptops"/>
    <x v="10"/>
    <n v="3"/>
    <n v="66217.919999999998"/>
    <n v="0.1"/>
    <n v="178788.38"/>
    <n v="20666.8"/>
    <s v="UPI"/>
  </r>
  <r>
    <s v="ORD-01242"/>
    <x v="197"/>
    <s v="CUST-0076"/>
    <s v="Customer 0076"/>
    <s v="Corporate"/>
    <x v="1"/>
    <s v="Karnataka"/>
    <s v="Bengaluru"/>
    <x v="1"/>
    <s v="Phones"/>
    <x v="11"/>
    <n v="1"/>
    <n v="18002.84"/>
    <n v="0.05"/>
    <n v="17102.7"/>
    <n v="3187.79"/>
    <s v="Card"/>
  </r>
  <r>
    <s v="ORD-00048"/>
    <x v="197"/>
    <s v="CUST-0186"/>
    <s v="Customer 0186"/>
    <s v="Consumer"/>
    <x v="1"/>
    <s v="Tamil Nadu"/>
    <s v="Chennai"/>
    <x v="0"/>
    <s v="Tables"/>
    <x v="0"/>
    <n v="1"/>
    <n v="11711.94"/>
    <n v="0.05"/>
    <n v="11126.34"/>
    <n v="2081.9"/>
    <s v="UPI"/>
  </r>
  <r>
    <s v="ORD-00185"/>
    <x v="198"/>
    <s v="CUST-0020"/>
    <s v="Customer 0020"/>
    <s v="Corporate"/>
    <x v="1"/>
    <s v="Karnataka"/>
    <s v="Bengaluru"/>
    <x v="1"/>
    <s v="Phones"/>
    <x v="11"/>
    <n v="1"/>
    <n v="18293.48"/>
    <n v="0"/>
    <n v="18293.48"/>
    <n v="1468.29"/>
    <s v="Card"/>
  </r>
  <r>
    <s v="ORD-01244"/>
    <x v="198"/>
    <s v="CUST-0178"/>
    <s v="Customer 0178"/>
    <s v="Small Business"/>
    <x v="1"/>
    <s v="Tamil Nadu"/>
    <s v="Chennai"/>
    <x v="1"/>
    <s v="Phones"/>
    <x v="11"/>
    <n v="2"/>
    <n v="17709.36"/>
    <n v="0.05"/>
    <n v="33647.78"/>
    <n v="3087.71"/>
    <s v="Net Banking"/>
  </r>
  <r>
    <s v="ORD-00377"/>
    <x v="198"/>
    <s v="CUST-0267"/>
    <s v="Customer 0267"/>
    <s v="Consumer"/>
    <x v="2"/>
    <s v="Rajasthan"/>
    <s v="Jaipur"/>
    <x v="0"/>
    <s v="Chairs"/>
    <x v="7"/>
    <n v="3"/>
    <n v="8237.4599999999991"/>
    <n v="0.2"/>
    <n v="19769.900000000001"/>
    <n v="2374.54"/>
    <s v="Cash"/>
  </r>
  <r>
    <s v="ORD-01438"/>
    <x v="198"/>
    <s v="CUST-0205"/>
    <s v="Customer 0205"/>
    <s v="Corporate"/>
    <x v="3"/>
    <s v="West Bengal"/>
    <s v="Kolkata"/>
    <x v="0"/>
    <s v="Tables"/>
    <x v="12"/>
    <n v="2"/>
    <n v="6217.69"/>
    <n v="0.1"/>
    <n v="11191.84"/>
    <n v="1517.12"/>
    <s v="Card"/>
  </r>
  <r>
    <s v="ORD-00005"/>
    <x v="198"/>
    <s v="CUST-0002"/>
    <s v="Customer 0002"/>
    <s v="Consumer"/>
    <x v="1"/>
    <s v="Tamil Nadu"/>
    <s v="Chennai"/>
    <x v="0"/>
    <s v="Tables"/>
    <x v="0"/>
    <n v="1"/>
    <n v="11437.58"/>
    <n v="0.1"/>
    <n v="10293.82"/>
    <n v="2403.83"/>
    <s v="Card"/>
  </r>
  <r>
    <s v="ORD-00043"/>
    <x v="198"/>
    <s v="CUST-0217"/>
    <s v="Customer 0217"/>
    <s v="Corporate"/>
    <x v="3"/>
    <s v="West Bengal"/>
    <s v="Kolkata"/>
    <x v="0"/>
    <s v="Chairs"/>
    <x v="7"/>
    <n v="1"/>
    <n v="8484.42"/>
    <n v="0.1"/>
    <n v="7635.98"/>
    <n v="1167.17"/>
    <s v="Card"/>
  </r>
  <r>
    <s v="ORD-00089"/>
    <x v="198"/>
    <s v="CUST-0256"/>
    <s v="Customer 0256"/>
    <s v="Corporate"/>
    <x v="3"/>
    <s v="West Bengal"/>
    <s v="Kolkata"/>
    <x v="1"/>
    <s v="Accessories"/>
    <x v="8"/>
    <n v="2"/>
    <n v="1880.72"/>
    <n v="0.05"/>
    <n v="3573.37"/>
    <n v="643.75"/>
    <s v="Card"/>
  </r>
  <r>
    <s v="ORD-00469"/>
    <x v="199"/>
    <s v="CUST-0127"/>
    <s v="Customer 0127"/>
    <s v="Consumer"/>
    <x v="1"/>
    <s v="Tamil Nadu"/>
    <s v="Chennai"/>
    <x v="1"/>
    <s v="Laptops"/>
    <x v="5"/>
    <n v="4"/>
    <n v="48882.58"/>
    <n v="0.05"/>
    <n v="185753.8"/>
    <n v="12988.5"/>
    <s v="Card"/>
  </r>
  <r>
    <s v="ORD-01014"/>
    <x v="199"/>
    <s v="CUST-0009"/>
    <s v="Customer 0009"/>
    <s v="Consumer"/>
    <x v="1"/>
    <s v="Karnataka"/>
    <s v="Bengaluru"/>
    <x v="0"/>
    <s v="Tables"/>
    <x v="0"/>
    <n v="3"/>
    <n v="12041.03"/>
    <n v="0.1"/>
    <n v="32510.78"/>
    <n v="6397.65"/>
    <s v="UPI"/>
  </r>
  <r>
    <s v="ORD-00425"/>
    <x v="199"/>
    <s v="CUST-0066"/>
    <s v="Customer 0066"/>
    <s v="Corporate"/>
    <x v="2"/>
    <s v="Rajasthan"/>
    <s v="Jaipur"/>
    <x v="1"/>
    <s v="Laptops"/>
    <x v="5"/>
    <n v="1"/>
    <n v="49351.839999999997"/>
    <n v="0.05"/>
    <n v="46884.25"/>
    <n v="6017.14"/>
    <s v="Cash"/>
  </r>
  <r>
    <s v="ORD-00706"/>
    <x v="199"/>
    <s v="CUST-0237"/>
    <s v="Customer 0237"/>
    <s v="Consumer"/>
    <x v="2"/>
    <s v="Rajasthan"/>
    <s v="Jaipur"/>
    <x v="0"/>
    <s v="Tables"/>
    <x v="12"/>
    <n v="1"/>
    <n v="6684.33"/>
    <n v="0.2"/>
    <n v="5347.46"/>
    <n v="1271.44"/>
    <s v="Net Banking"/>
  </r>
  <r>
    <s v="ORD-01356"/>
    <x v="199"/>
    <s v="CUST-0118"/>
    <s v="Customer 0118"/>
    <s v="Consumer"/>
    <x v="0"/>
    <s v="Maharashtra"/>
    <s v="Pune"/>
    <x v="0"/>
    <s v="Chairs"/>
    <x v="7"/>
    <n v="4"/>
    <n v="8542.33"/>
    <n v="0.05"/>
    <n v="32460.85"/>
    <n v="8267.91"/>
    <s v="UPI"/>
  </r>
  <r>
    <s v="ORD-00179"/>
    <x v="199"/>
    <s v="CUST-0149"/>
    <s v="Customer 0149"/>
    <s v="Corporate"/>
    <x v="1"/>
    <s v="Telangana"/>
    <s v="Hyderabad"/>
    <x v="1"/>
    <s v="Laptops"/>
    <x v="5"/>
    <n v="2"/>
    <n v="49096.76"/>
    <n v="0.15"/>
    <n v="83464.490000000005"/>
    <n v="12444.27"/>
    <s v="Net Banking"/>
  </r>
  <r>
    <s v="ORD-00250"/>
    <x v="200"/>
    <s v="CUST-0264"/>
    <s v="Customer 0264"/>
    <s v="Consumer"/>
    <x v="0"/>
    <s v="Maharashtra"/>
    <s v="Mumbai"/>
    <x v="2"/>
    <s v="Stationery"/>
    <x v="13"/>
    <n v="2"/>
    <n v="578.03"/>
    <n v="0.05"/>
    <n v="1098.26"/>
    <n v="296.79000000000002"/>
    <s v="UPI"/>
  </r>
  <r>
    <s v="ORD-01083"/>
    <x v="201"/>
    <s v="CUST-0267"/>
    <s v="Customer 0267"/>
    <s v="Consumer"/>
    <x v="0"/>
    <s v="Gujarat"/>
    <s v="Ahmedabad"/>
    <x v="1"/>
    <s v="Accessories"/>
    <x v="3"/>
    <n v="3"/>
    <n v="1200.24"/>
    <n v="0"/>
    <n v="3600.72"/>
    <n v="584.62"/>
    <s v="UPI"/>
  </r>
  <r>
    <s v="ORD-00759"/>
    <x v="201"/>
    <s v="CUST-0004"/>
    <s v="Customer 0004"/>
    <s v="Consumer"/>
    <x v="0"/>
    <s v="Maharashtra"/>
    <s v="Pune"/>
    <x v="1"/>
    <s v="Phones"/>
    <x v="11"/>
    <n v="2"/>
    <n v="17268.88"/>
    <n v="0.1"/>
    <n v="31083.98"/>
    <n v="3968.08"/>
    <s v="Card"/>
  </r>
  <r>
    <s v="ORD-00052"/>
    <x v="201"/>
    <s v="CUST-0053"/>
    <s v="Customer 0053"/>
    <s v="Small Business"/>
    <x v="3"/>
    <s v="Bihar"/>
    <s v="Patna"/>
    <x v="1"/>
    <s v="Accessories"/>
    <x v="3"/>
    <n v="4"/>
    <n v="1194.07"/>
    <n v="0"/>
    <n v="4776.28"/>
    <n v="468.47"/>
    <s v="Net Banking"/>
  </r>
  <r>
    <s v="ORD-01391"/>
    <x v="202"/>
    <s v="CUST-0220"/>
    <s v="Customer 0220"/>
    <s v="Consumer"/>
    <x v="1"/>
    <s v="Karnataka"/>
    <s v="Bengaluru"/>
    <x v="2"/>
    <s v="Stationery"/>
    <x v="9"/>
    <n v="2"/>
    <n v="349.73"/>
    <n v="0"/>
    <n v="699.46"/>
    <n v="152.27000000000001"/>
    <s v="Card"/>
  </r>
  <r>
    <s v="ORD-00630"/>
    <x v="202"/>
    <s v="CUST-0018"/>
    <s v="Customer 0018"/>
    <s v="Corporate"/>
    <x v="0"/>
    <s v="Gujarat"/>
    <s v="Ahmedabad"/>
    <x v="1"/>
    <s v="Accessories"/>
    <x v="8"/>
    <n v="3"/>
    <n v="1797.07"/>
    <n v="0.05"/>
    <n v="5121.6499999999996"/>
    <n v="578.79999999999995"/>
    <s v="Cash"/>
  </r>
  <r>
    <s v="ORD-00868"/>
    <x v="202"/>
    <s v="CUST-0070"/>
    <s v="Customer 0070"/>
    <s v="Consumer"/>
    <x v="0"/>
    <s v="Maharashtra"/>
    <s v="Mumbai"/>
    <x v="1"/>
    <s v="Laptops"/>
    <x v="5"/>
    <n v="1"/>
    <n v="47991.02"/>
    <n v="0.1"/>
    <n v="43191.92"/>
    <n v="6218.28"/>
    <s v="UPI"/>
  </r>
  <r>
    <s v="ORD-00506"/>
    <x v="202"/>
    <s v="CUST-0156"/>
    <s v="Customer 0156"/>
    <s v="Consumer"/>
    <x v="0"/>
    <s v="Gujarat"/>
    <s v="Ahmedabad"/>
    <x v="0"/>
    <s v="Chairs"/>
    <x v="7"/>
    <n v="2"/>
    <n v="8788.5400000000009"/>
    <n v="0.1"/>
    <n v="15819.37"/>
    <n v="3144.21"/>
    <s v="Card"/>
  </r>
  <r>
    <s v="ORD-01070"/>
    <x v="203"/>
    <s v="CUST-0179"/>
    <s v="Customer 0179"/>
    <s v="Small Business"/>
    <x v="0"/>
    <s v="Maharashtra"/>
    <s v="Mumbai"/>
    <x v="0"/>
    <s v="Storage"/>
    <x v="4"/>
    <n v="1"/>
    <n v="14886.6"/>
    <n v="0.15"/>
    <n v="12653.61"/>
    <n v="1713.54"/>
    <s v="UPI"/>
  </r>
  <r>
    <s v="ORD-00304"/>
    <x v="203"/>
    <s v="CUST-0186"/>
    <s v="Customer 0186"/>
    <s v="Consumer"/>
    <x v="3"/>
    <s v="Odisha"/>
    <s v="Bhubaneswar"/>
    <x v="2"/>
    <s v="Stationery"/>
    <x v="13"/>
    <n v="1"/>
    <n v="573.37"/>
    <n v="0.1"/>
    <n v="516.03"/>
    <n v="110.97"/>
    <s v="UPI"/>
  </r>
  <r>
    <s v="ORD-00211"/>
    <x v="203"/>
    <s v="CUST-0117"/>
    <s v="Customer 0117"/>
    <s v="Consumer"/>
    <x v="2"/>
    <s v="Uttar Pradesh"/>
    <s v="Lucknow"/>
    <x v="0"/>
    <s v="Tables"/>
    <x v="12"/>
    <n v="3"/>
    <n v="6326.3"/>
    <n v="0.15"/>
    <n v="16132.07"/>
    <n v="3742.11"/>
    <s v="Card"/>
  </r>
  <r>
    <s v="ORD-00060"/>
    <x v="203"/>
    <s v="CUST-0107"/>
    <s v="Customer 0107"/>
    <s v="Small Business"/>
    <x v="0"/>
    <s v="Gujarat"/>
    <s v="Ahmedabad"/>
    <x v="0"/>
    <s v="Tables"/>
    <x v="0"/>
    <n v="1"/>
    <n v="12367.44"/>
    <n v="0.05"/>
    <n v="11749.07"/>
    <n v="2730.66"/>
    <s v="Cash"/>
  </r>
  <r>
    <s v="ORD-00738"/>
    <x v="203"/>
    <s v="CUST-0069"/>
    <s v="Customer 0069"/>
    <s v="Consumer"/>
    <x v="0"/>
    <s v="Gujarat"/>
    <s v="Ahmedabad"/>
    <x v="1"/>
    <s v="Accessories"/>
    <x v="3"/>
    <n v="1"/>
    <n v="1217.1400000000001"/>
    <n v="0.05"/>
    <n v="1156.28"/>
    <n v="186.28"/>
    <s v="UPI"/>
  </r>
  <r>
    <s v="ORD-00128"/>
    <x v="203"/>
    <s v="CUST-0150"/>
    <s v="Customer 0150"/>
    <s v="Consumer"/>
    <x v="0"/>
    <s v="Maharashtra"/>
    <s v="Pune"/>
    <x v="1"/>
    <s v="Phones"/>
    <x v="1"/>
    <n v="2"/>
    <n v="40242.410000000003"/>
    <n v="0.05"/>
    <n v="76460.58"/>
    <n v="9840.44"/>
    <s v="UPI"/>
  </r>
  <r>
    <s v="ORD-00766"/>
    <x v="204"/>
    <s v="CUST-0157"/>
    <s v="Customer 0157"/>
    <s v="Consumer"/>
    <x v="0"/>
    <s v="Maharashtra"/>
    <s v="Pune"/>
    <x v="2"/>
    <s v="Paper"/>
    <x v="6"/>
    <n v="1"/>
    <n v="458.7"/>
    <n v="0"/>
    <n v="458.7"/>
    <n v="140.80000000000001"/>
    <s v="Card"/>
  </r>
  <r>
    <s v="ORD-00408"/>
    <x v="204"/>
    <s v="CUST-0026"/>
    <s v="Customer 0026"/>
    <s v="Small Business"/>
    <x v="2"/>
    <s v="Uttar Pradesh"/>
    <s v="Lucknow"/>
    <x v="0"/>
    <s v="Tables"/>
    <x v="12"/>
    <n v="2"/>
    <n v="6282.93"/>
    <n v="0"/>
    <n v="12565.86"/>
    <n v="1630.76"/>
    <s v="Card"/>
  </r>
  <r>
    <s v="ORD-00020"/>
    <x v="204"/>
    <s v="CUST-0112"/>
    <s v="Customer 0112"/>
    <s v="Consumer"/>
    <x v="3"/>
    <s v="Odisha"/>
    <s v="Bhubaneswar"/>
    <x v="1"/>
    <s v="Phones"/>
    <x v="1"/>
    <n v="3"/>
    <n v="40575.39"/>
    <n v="0"/>
    <n v="121726.17"/>
    <n v="19089.43"/>
    <s v="UPI"/>
  </r>
  <r>
    <s v="ORD-00917"/>
    <x v="205"/>
    <s v="CUST-0065"/>
    <s v="Customer 0065"/>
    <s v="Consumer"/>
    <x v="1"/>
    <s v="Telangana"/>
    <s v="Hyderabad"/>
    <x v="0"/>
    <s v="Storage"/>
    <x v="4"/>
    <n v="1"/>
    <n v="14546.85"/>
    <n v="0.1"/>
    <n v="13092.17"/>
    <n v="1370.54"/>
    <s v="UPI"/>
  </r>
  <r>
    <s v="ORD-01362"/>
    <x v="205"/>
    <s v="CUST-0037"/>
    <s v="Customer 0037"/>
    <s v="Consumer"/>
    <x v="2"/>
    <s v="Uttar Pradesh"/>
    <s v="Lucknow"/>
    <x v="1"/>
    <s v="Phones"/>
    <x v="1"/>
    <n v="1"/>
    <n v="40982.620000000003"/>
    <n v="0.2"/>
    <n v="32786.1"/>
    <n v="3718.74"/>
    <s v="Card"/>
  </r>
  <r>
    <s v="ORD-00379"/>
    <x v="205"/>
    <s v="CUST-0116"/>
    <s v="Customer 0116"/>
    <s v="Consumer"/>
    <x v="2"/>
    <s v="Delhi"/>
    <s v="Delhi"/>
    <x v="0"/>
    <s v="Tables"/>
    <x v="12"/>
    <n v="1"/>
    <n v="6714.6"/>
    <n v="0"/>
    <n v="6714.6"/>
    <n v="1824.49"/>
    <s v="Net Banking"/>
  </r>
  <r>
    <s v="ORD-00545"/>
    <x v="205"/>
    <s v="CUST-0082"/>
    <s v="Customer 0082"/>
    <s v="Small Business"/>
    <x v="1"/>
    <s v="Karnataka"/>
    <s v="Bengaluru"/>
    <x v="1"/>
    <s v="Laptops"/>
    <x v="5"/>
    <n v="1"/>
    <n v="49684.09"/>
    <n v="0.1"/>
    <n v="44715.68"/>
    <n v="4205.41"/>
    <s v="Cash"/>
  </r>
  <r>
    <s v="ORD-00536"/>
    <x v="206"/>
    <s v="CUST-0099"/>
    <s v="Customer 0099"/>
    <s v="Consumer"/>
    <x v="0"/>
    <s v="Gujarat"/>
    <s v="Ahmedabad"/>
    <x v="1"/>
    <s v="Laptops"/>
    <x v="10"/>
    <n v="1"/>
    <n v="66636.66"/>
    <n v="0.15"/>
    <n v="56641.16"/>
    <n v="7895.57"/>
    <s v="Card"/>
  </r>
  <r>
    <s v="ORD-00734"/>
    <x v="206"/>
    <s v="CUST-0269"/>
    <s v="Customer 0269"/>
    <s v="Small Business"/>
    <x v="2"/>
    <s v="Delhi"/>
    <s v="Delhi"/>
    <x v="2"/>
    <s v="Stationery"/>
    <x v="13"/>
    <n v="2"/>
    <n v="611.44000000000005"/>
    <n v="0"/>
    <n v="1222.8800000000001"/>
    <n v="309.01"/>
    <s v="Card"/>
  </r>
  <r>
    <s v="ORD-00569"/>
    <x v="206"/>
    <s v="CUST-0230"/>
    <s v="Customer 0230"/>
    <s v="Consumer"/>
    <x v="0"/>
    <s v="Maharashtra"/>
    <s v="Pune"/>
    <x v="1"/>
    <s v="Phones"/>
    <x v="1"/>
    <n v="1"/>
    <n v="41406.769999999997"/>
    <n v="0.15"/>
    <n v="35195.75"/>
    <n v="4453.9399999999996"/>
    <s v="Cash"/>
  </r>
  <r>
    <s v="ORD-01364"/>
    <x v="207"/>
    <s v="CUST-0075"/>
    <s v="Customer 0075"/>
    <s v="Consumer"/>
    <x v="0"/>
    <s v="Maharashtra"/>
    <s v="Pune"/>
    <x v="1"/>
    <s v="Accessories"/>
    <x v="3"/>
    <n v="2"/>
    <n v="1256.75"/>
    <n v="0"/>
    <n v="2513.5"/>
    <n v="364.86"/>
    <s v="UPI"/>
  </r>
  <r>
    <s v="ORD-00403"/>
    <x v="207"/>
    <s v="CUST-0171"/>
    <s v="Customer 0171"/>
    <s v="Consumer"/>
    <x v="3"/>
    <s v="Bihar"/>
    <s v="Patna"/>
    <x v="2"/>
    <s v="Storage"/>
    <x v="2"/>
    <n v="1"/>
    <n v="745.73"/>
    <n v="0.05"/>
    <n v="708.44"/>
    <n v="182.63"/>
    <s v="Net Banking"/>
  </r>
  <r>
    <s v="ORD-01202"/>
    <x v="207"/>
    <s v="CUST-0091"/>
    <s v="Customer 0091"/>
    <s v="Corporate"/>
    <x v="1"/>
    <s v="Telangana"/>
    <s v="Hyderabad"/>
    <x v="2"/>
    <s v="Storage"/>
    <x v="2"/>
    <n v="5"/>
    <n v="734.7"/>
    <n v="0.15"/>
    <n v="3122.47"/>
    <n v="548.92999999999995"/>
    <s v="Cash"/>
  </r>
  <r>
    <s v="ORD-00826"/>
    <x v="208"/>
    <s v="CUST-0255"/>
    <s v="Customer 0255"/>
    <s v="Consumer"/>
    <x v="1"/>
    <s v="Tamil Nadu"/>
    <s v="Chennai"/>
    <x v="1"/>
    <s v="Phones"/>
    <x v="11"/>
    <n v="4"/>
    <n v="18319.7"/>
    <n v="0"/>
    <n v="73278.8"/>
    <n v="7635.27"/>
    <s v="Net Banking"/>
  </r>
  <r>
    <s v="ORD-01328"/>
    <x v="208"/>
    <s v="CUST-0004"/>
    <s v="Customer 0004"/>
    <s v="Small Business"/>
    <x v="2"/>
    <s v="Delhi"/>
    <s v="Delhi"/>
    <x v="1"/>
    <s v="Laptops"/>
    <x v="10"/>
    <n v="1"/>
    <n v="63460.75"/>
    <n v="0"/>
    <n v="63460.75"/>
    <n v="8080.78"/>
    <s v="Cash"/>
  </r>
  <r>
    <s v="ORD-00307"/>
    <x v="209"/>
    <s v="CUST-0032"/>
    <s v="Customer 0032"/>
    <s v="Small Business"/>
    <x v="1"/>
    <s v="Karnataka"/>
    <s v="Bengaluru"/>
    <x v="2"/>
    <s v="Storage"/>
    <x v="2"/>
    <n v="3"/>
    <n v="740.51"/>
    <n v="0.1"/>
    <n v="1999.38"/>
    <n v="376.89"/>
    <s v="UPI"/>
  </r>
  <r>
    <s v="ORD-01394"/>
    <x v="209"/>
    <s v="CUST-0082"/>
    <s v="Customer 0082"/>
    <s v="Corporate"/>
    <x v="0"/>
    <s v="Maharashtra"/>
    <s v="Pune"/>
    <x v="1"/>
    <s v="Accessories"/>
    <x v="3"/>
    <n v="5"/>
    <n v="1169.2"/>
    <n v="0.15"/>
    <n v="4969.1000000000004"/>
    <n v="167.27"/>
    <s v="UPI"/>
  </r>
  <r>
    <s v="ORD-01338"/>
    <x v="210"/>
    <s v="CUST-0129"/>
    <s v="Customer 0129"/>
    <s v="Corporate"/>
    <x v="3"/>
    <s v="Bihar"/>
    <s v="Patna"/>
    <x v="2"/>
    <s v="Storage"/>
    <x v="2"/>
    <n v="2"/>
    <n v="727.58"/>
    <n v="0"/>
    <n v="1455.16"/>
    <n v="482.31"/>
    <s v="Cash"/>
  </r>
  <r>
    <s v="ORD-00516"/>
    <x v="210"/>
    <s v="CUST-0203"/>
    <s v="Customer 0203"/>
    <s v="Consumer"/>
    <x v="0"/>
    <s v="Maharashtra"/>
    <s v="Mumbai"/>
    <x v="0"/>
    <s v="Storage"/>
    <x v="4"/>
    <n v="2"/>
    <n v="14401.12"/>
    <n v="0.05"/>
    <n v="27362.13"/>
    <n v="6403.63"/>
    <s v="Cash"/>
  </r>
  <r>
    <s v="ORD-00522"/>
    <x v="210"/>
    <s v="CUST-0179"/>
    <s v="Customer 0179"/>
    <s v="Consumer"/>
    <x v="2"/>
    <s v="Rajasthan"/>
    <s v="Jaipur"/>
    <x v="2"/>
    <s v="Storage"/>
    <x v="2"/>
    <n v="4"/>
    <n v="775.79"/>
    <n v="0"/>
    <n v="3103.16"/>
    <n v="751.17"/>
    <s v="Card"/>
  </r>
  <r>
    <s v="ORD-01135"/>
    <x v="210"/>
    <s v="CUST-0143"/>
    <s v="Customer 0143"/>
    <s v="Small Business"/>
    <x v="3"/>
    <s v="Bihar"/>
    <s v="Patna"/>
    <x v="1"/>
    <s v="Accessories"/>
    <x v="3"/>
    <n v="1"/>
    <n v="1244.28"/>
    <n v="0"/>
    <n v="1244.28"/>
    <n v="133.56"/>
    <s v="Net Banking"/>
  </r>
  <r>
    <s v="ORD-01305"/>
    <x v="210"/>
    <s v="CUST-0089"/>
    <s v="Customer 0089"/>
    <s v="Consumer"/>
    <x v="3"/>
    <s v="West Bengal"/>
    <s v="Kolkata"/>
    <x v="1"/>
    <s v="Phones"/>
    <x v="11"/>
    <n v="1"/>
    <n v="17553.169999999998"/>
    <n v="0.05"/>
    <n v="16675.509999999998"/>
    <n v="1959.04"/>
    <s v="Cash"/>
  </r>
  <r>
    <s v="ORD-01021"/>
    <x v="210"/>
    <s v="CUST-0231"/>
    <s v="Customer 0231"/>
    <s v="Consumer"/>
    <x v="2"/>
    <s v="Delhi"/>
    <s v="Delhi"/>
    <x v="1"/>
    <s v="Accessories"/>
    <x v="8"/>
    <n v="2"/>
    <n v="1825.13"/>
    <n v="0.1"/>
    <n v="3285.23"/>
    <n v="456.42"/>
    <s v="Net Banking"/>
  </r>
  <r>
    <s v="ORD-00333"/>
    <x v="210"/>
    <s v="CUST-0182"/>
    <s v="Customer 0182"/>
    <s v="Consumer"/>
    <x v="0"/>
    <s v="Gujarat"/>
    <s v="Ahmedabad"/>
    <x v="0"/>
    <s v="Tables"/>
    <x v="12"/>
    <n v="1"/>
    <n v="6564.55"/>
    <n v="0.1"/>
    <n v="5908.1"/>
    <n v="715.28"/>
    <s v="Card"/>
  </r>
  <r>
    <s v="ORD-00078"/>
    <x v="210"/>
    <s v="CUST-0127"/>
    <s v="Customer 0127"/>
    <s v="Consumer"/>
    <x v="0"/>
    <s v="Maharashtra"/>
    <s v="Mumbai"/>
    <x v="0"/>
    <s v="Tables"/>
    <x v="0"/>
    <n v="2"/>
    <n v="11908.96"/>
    <n v="0.1"/>
    <n v="21436.13"/>
    <n v="4383.09"/>
    <s v="Cash"/>
  </r>
  <r>
    <s v="ORD-00407"/>
    <x v="211"/>
    <s v="CUST-0089"/>
    <s v="Customer 0089"/>
    <s v="Small Business"/>
    <x v="2"/>
    <s v="Delhi"/>
    <s v="Delhi"/>
    <x v="2"/>
    <s v="Storage"/>
    <x v="2"/>
    <n v="1"/>
    <n v="759.61"/>
    <n v="0.2"/>
    <n v="607.69000000000005"/>
    <n v="145.91999999999999"/>
    <s v="UPI"/>
  </r>
  <r>
    <s v="ORD-00680"/>
    <x v="211"/>
    <s v="CUST-0270"/>
    <s v="Customer 0270"/>
    <s v="Corporate"/>
    <x v="2"/>
    <s v="Uttar Pradesh"/>
    <s v="Lucknow"/>
    <x v="2"/>
    <s v="Stationery"/>
    <x v="9"/>
    <n v="2"/>
    <n v="346.08"/>
    <n v="0.05"/>
    <n v="657.55"/>
    <n v="119.61"/>
    <s v="UPI"/>
  </r>
  <r>
    <s v="ORD-00155"/>
    <x v="211"/>
    <s v="CUST-0264"/>
    <s v="Customer 0264"/>
    <s v="Small Business"/>
    <x v="3"/>
    <s v="Bihar"/>
    <s v="Patna"/>
    <x v="1"/>
    <s v="Accessories"/>
    <x v="3"/>
    <n v="3"/>
    <n v="1178.92"/>
    <n v="0.1"/>
    <n v="3183.08"/>
    <n v="317.94"/>
    <s v="Net Banking"/>
  </r>
  <r>
    <s v="ORD-00224"/>
    <x v="211"/>
    <s v="CUST-0090"/>
    <s v="Customer 0090"/>
    <s v="Small Business"/>
    <x v="0"/>
    <s v="Maharashtra"/>
    <s v="Mumbai"/>
    <x v="2"/>
    <s v="Storage"/>
    <x v="2"/>
    <n v="4"/>
    <n v="760.23"/>
    <n v="0"/>
    <n v="3040.92"/>
    <n v="487.24"/>
    <s v="UPI"/>
  </r>
  <r>
    <s v="ORD-00256"/>
    <x v="212"/>
    <s v="CUST-0166"/>
    <s v="Customer 0166"/>
    <s v="Consumer"/>
    <x v="0"/>
    <s v="Maharashtra"/>
    <s v="Mumbai"/>
    <x v="0"/>
    <s v="Tables"/>
    <x v="12"/>
    <n v="4"/>
    <n v="6615.58"/>
    <n v="0"/>
    <n v="26462.32"/>
    <n v="5748.68"/>
    <s v="Net Banking"/>
  </r>
  <r>
    <s v="ORD-01403"/>
    <x v="212"/>
    <s v="CUST-0109"/>
    <s v="Customer 0109"/>
    <s v="Corporate"/>
    <x v="0"/>
    <s v="Maharashtra"/>
    <s v="Mumbai"/>
    <x v="1"/>
    <s v="Laptops"/>
    <x v="5"/>
    <n v="5"/>
    <n v="47724.5"/>
    <n v="0.1"/>
    <n v="214760.25"/>
    <n v="30996.23"/>
    <s v="UPI"/>
  </r>
  <r>
    <s v="ORD-01194"/>
    <x v="212"/>
    <s v="CUST-0198"/>
    <s v="Customer 0198"/>
    <s v="Consumer"/>
    <x v="0"/>
    <s v="Maharashtra"/>
    <s v="Pune"/>
    <x v="1"/>
    <s v="Phones"/>
    <x v="11"/>
    <n v="4"/>
    <n v="18133.490000000002"/>
    <n v="0.05"/>
    <n v="68907.259999999995"/>
    <n v="9577.16"/>
    <s v="Net Banking"/>
  </r>
  <r>
    <s v="ORD-01279"/>
    <x v="212"/>
    <s v="CUST-0226"/>
    <s v="Customer 0226"/>
    <s v="Corporate"/>
    <x v="1"/>
    <s v="Telangana"/>
    <s v="Hyderabad"/>
    <x v="0"/>
    <s v="Tables"/>
    <x v="0"/>
    <n v="2"/>
    <n v="11425.73"/>
    <n v="0.2"/>
    <n v="18281.169999999998"/>
    <n v="3112.28"/>
    <s v="Net Banking"/>
  </r>
  <r>
    <s v="ORD-00441"/>
    <x v="213"/>
    <s v="CUST-0214"/>
    <s v="Customer 0214"/>
    <s v="Consumer"/>
    <x v="1"/>
    <s v="Karnataka"/>
    <s v="Bengaluru"/>
    <x v="1"/>
    <s v="Phones"/>
    <x v="1"/>
    <n v="1"/>
    <n v="43190.23"/>
    <n v="0"/>
    <n v="43190.23"/>
    <n v="8953.14"/>
    <s v="Net Banking"/>
  </r>
  <r>
    <s v="ORD-00006"/>
    <x v="213"/>
    <s v="CUST-0215"/>
    <s v="Customer 0215"/>
    <s v="Consumer"/>
    <x v="3"/>
    <s v="Bihar"/>
    <s v="Patna"/>
    <x v="0"/>
    <s v="Tables"/>
    <x v="0"/>
    <n v="5"/>
    <n v="12296.78"/>
    <n v="0.15"/>
    <n v="52261.32"/>
    <n v="8850.33"/>
    <s v="Net Banking"/>
  </r>
  <r>
    <s v="ORD-00882"/>
    <x v="213"/>
    <s v="CUST-0236"/>
    <s v="Customer 0236"/>
    <s v="Corporate"/>
    <x v="1"/>
    <s v="Karnataka"/>
    <s v="Bengaluru"/>
    <x v="1"/>
    <s v="Laptops"/>
    <x v="5"/>
    <n v="3"/>
    <n v="47089.91"/>
    <n v="0.1"/>
    <n v="127142.76"/>
    <n v="19909.8"/>
    <s v="UPI"/>
  </r>
  <r>
    <s v="ORD-00283"/>
    <x v="213"/>
    <s v="CUST-0273"/>
    <s v="Customer 0273"/>
    <s v="Corporate"/>
    <x v="1"/>
    <s v="Tamil Nadu"/>
    <s v="Chennai"/>
    <x v="1"/>
    <s v="Accessories"/>
    <x v="8"/>
    <n v="1"/>
    <n v="1846.62"/>
    <n v="0.1"/>
    <n v="1661.96"/>
    <n v="118.84"/>
    <s v="Cash"/>
  </r>
  <r>
    <s v="ORD-00660"/>
    <x v="213"/>
    <s v="CUST-0154"/>
    <s v="Customer 0154"/>
    <s v="Consumer"/>
    <x v="1"/>
    <s v="Telangana"/>
    <s v="Hyderabad"/>
    <x v="0"/>
    <s v="Chairs"/>
    <x v="7"/>
    <n v="4"/>
    <n v="8273.83"/>
    <n v="0.15"/>
    <n v="28131.02"/>
    <n v="3102.39"/>
    <s v="Card"/>
  </r>
  <r>
    <s v="ORD-00106"/>
    <x v="214"/>
    <s v="CUST-0199"/>
    <s v="Customer 0199"/>
    <s v="Small Business"/>
    <x v="3"/>
    <s v="Odisha"/>
    <s v="Bhubaneswar"/>
    <x v="0"/>
    <s v="Tables"/>
    <x v="12"/>
    <n v="1"/>
    <n v="6597.27"/>
    <n v="0.2"/>
    <n v="5277.82"/>
    <n v="744.23"/>
    <s v="UPI"/>
  </r>
  <r>
    <s v="ORD-01067"/>
    <x v="214"/>
    <s v="CUST-0153"/>
    <s v="Customer 0153"/>
    <s v="Consumer"/>
    <x v="2"/>
    <s v="Uttar Pradesh"/>
    <s v="Lucknow"/>
    <x v="1"/>
    <s v="Laptops"/>
    <x v="5"/>
    <n v="1"/>
    <n v="48249.760000000002"/>
    <n v="0"/>
    <n v="48249.760000000002"/>
    <n v="6274.05"/>
    <s v="Card"/>
  </r>
  <r>
    <s v="ORD-00510"/>
    <x v="215"/>
    <s v="CUST-0221"/>
    <s v="Customer 0221"/>
    <s v="Corporate"/>
    <x v="2"/>
    <s v="Delhi"/>
    <s v="Delhi"/>
    <x v="0"/>
    <s v="Storage"/>
    <x v="4"/>
    <n v="5"/>
    <n v="14514"/>
    <n v="0.05"/>
    <n v="68941.5"/>
    <n v="17276.990000000002"/>
    <s v="UPI"/>
  </r>
  <r>
    <s v="ORD-00898"/>
    <x v="215"/>
    <s v="CUST-0008"/>
    <s v="Customer 0008"/>
    <s v="Corporate"/>
    <x v="2"/>
    <s v="Uttar Pradesh"/>
    <s v="Lucknow"/>
    <x v="1"/>
    <s v="Laptops"/>
    <x v="10"/>
    <n v="3"/>
    <n v="67500.39"/>
    <n v="0"/>
    <n v="202501.17"/>
    <n v="33670.15"/>
    <s v="Card"/>
  </r>
  <r>
    <s v="ORD-00092"/>
    <x v="215"/>
    <s v="CUST-0153"/>
    <s v="Customer 0153"/>
    <s v="Consumer"/>
    <x v="1"/>
    <s v="Karnataka"/>
    <s v="Bengaluru"/>
    <x v="1"/>
    <s v="Accessories"/>
    <x v="3"/>
    <n v="3"/>
    <n v="1156.8"/>
    <n v="0"/>
    <n v="3470.4"/>
    <n v="405.74"/>
    <s v="Net Banking"/>
  </r>
  <r>
    <s v="ORD-00405"/>
    <x v="216"/>
    <s v="CUST-0154"/>
    <s v="Customer 0154"/>
    <s v="Consumer"/>
    <x v="0"/>
    <s v="Maharashtra"/>
    <s v="Pune"/>
    <x v="2"/>
    <s v="Stationery"/>
    <x v="13"/>
    <n v="4"/>
    <n v="586.30999999999995"/>
    <n v="0.1"/>
    <n v="2110.7199999999998"/>
    <n v="432.42"/>
    <s v="UPI"/>
  </r>
  <r>
    <s v="ORD-00497"/>
    <x v="216"/>
    <s v="CUST-0104"/>
    <s v="Customer 0104"/>
    <s v="Corporate"/>
    <x v="2"/>
    <s v="Delhi"/>
    <s v="Delhi"/>
    <x v="1"/>
    <s v="Phones"/>
    <x v="11"/>
    <n v="1"/>
    <n v="17902.490000000002"/>
    <n v="0"/>
    <n v="17902.490000000002"/>
    <n v="3479.02"/>
    <s v="UPI"/>
  </r>
  <r>
    <s v="ORD-00442"/>
    <x v="216"/>
    <s v="CUST-0100"/>
    <s v="Customer 0100"/>
    <s v="Consumer"/>
    <x v="3"/>
    <s v="Bihar"/>
    <s v="Patna"/>
    <x v="0"/>
    <s v="Storage"/>
    <x v="4"/>
    <n v="1"/>
    <n v="14479.95"/>
    <n v="0"/>
    <n v="14479.95"/>
    <n v="1990.16"/>
    <s v="Net Banking"/>
  </r>
  <r>
    <s v="ORD-00915"/>
    <x v="216"/>
    <s v="CUST-0199"/>
    <s v="Customer 0199"/>
    <s v="Consumer"/>
    <x v="0"/>
    <s v="Maharashtra"/>
    <s v="Mumbai"/>
    <x v="0"/>
    <s v="Storage"/>
    <x v="4"/>
    <n v="2"/>
    <n v="14204.29"/>
    <n v="0.1"/>
    <n v="25567.72"/>
    <n v="5610.44"/>
    <s v="Cash"/>
  </r>
  <r>
    <s v="ORD-00825"/>
    <x v="216"/>
    <s v="CUST-0120"/>
    <s v="Customer 0120"/>
    <s v="Corporate"/>
    <x v="3"/>
    <s v="West Bengal"/>
    <s v="Kolkata"/>
    <x v="0"/>
    <s v="Tables"/>
    <x v="12"/>
    <n v="1"/>
    <n v="6492.08"/>
    <n v="0"/>
    <n v="6492.08"/>
    <n v="1105.82"/>
    <s v="Net Banking"/>
  </r>
  <r>
    <s v="ORD-00365"/>
    <x v="216"/>
    <s v="CUST-0188"/>
    <s v="Customer 0188"/>
    <s v="Corporate"/>
    <x v="3"/>
    <s v="Odisha"/>
    <s v="Bhubaneswar"/>
    <x v="1"/>
    <s v="Laptops"/>
    <x v="10"/>
    <n v="4"/>
    <n v="67425.210000000006"/>
    <n v="0"/>
    <n v="269700.84000000003"/>
    <n v="51385.81"/>
    <s v="Card"/>
  </r>
  <r>
    <s v="ORD-01114"/>
    <x v="217"/>
    <s v="CUST-0015"/>
    <s v="Customer 0015"/>
    <s v="Consumer"/>
    <x v="3"/>
    <s v="Odisha"/>
    <s v="Bhubaneswar"/>
    <x v="0"/>
    <s v="Chairs"/>
    <x v="7"/>
    <n v="1"/>
    <n v="8344.35"/>
    <n v="0.05"/>
    <n v="7927.13"/>
    <n v="1303.75"/>
    <s v="Card"/>
  </r>
  <r>
    <s v="ORD-00726"/>
    <x v="217"/>
    <s v="CUST-0072"/>
    <s v="Customer 0072"/>
    <s v="Consumer"/>
    <x v="1"/>
    <s v="Karnataka"/>
    <s v="Bengaluru"/>
    <x v="0"/>
    <s v="Chairs"/>
    <x v="7"/>
    <n v="2"/>
    <n v="8127.03"/>
    <n v="0"/>
    <n v="16254.06"/>
    <n v="3487.25"/>
    <s v="Card"/>
  </r>
  <r>
    <s v="ORD-00354"/>
    <x v="217"/>
    <s v="CUST-0268"/>
    <s v="Customer 0268"/>
    <s v="Consumer"/>
    <x v="3"/>
    <s v="Bihar"/>
    <s v="Patna"/>
    <x v="0"/>
    <s v="Storage"/>
    <x v="4"/>
    <n v="3"/>
    <n v="14863.62"/>
    <n v="0.05"/>
    <n v="42361.32"/>
    <n v="5312.88"/>
    <s v="UPI"/>
  </r>
  <r>
    <s v="ORD-00215"/>
    <x v="218"/>
    <s v="CUST-0265"/>
    <s v="Customer 0265"/>
    <s v="Consumer"/>
    <x v="2"/>
    <s v="Delhi"/>
    <s v="Delhi"/>
    <x v="0"/>
    <s v="Storage"/>
    <x v="4"/>
    <n v="2"/>
    <n v="14642.62"/>
    <n v="0.05"/>
    <n v="27820.98"/>
    <n v="4418.22"/>
    <s v="UPI"/>
  </r>
  <r>
    <s v="ORD-00697"/>
    <x v="218"/>
    <s v="CUST-0217"/>
    <s v="Customer 0217"/>
    <s v="Consumer"/>
    <x v="0"/>
    <s v="Maharashtra"/>
    <s v="Pune"/>
    <x v="2"/>
    <s v="Paper"/>
    <x v="6"/>
    <n v="3"/>
    <n v="432.89"/>
    <n v="0.15"/>
    <n v="1103.8699999999999"/>
    <n v="254.68"/>
    <s v="Cash"/>
  </r>
  <r>
    <s v="ORD-01107"/>
    <x v="218"/>
    <s v="CUST-0220"/>
    <s v="Customer 0220"/>
    <s v="Consumer"/>
    <x v="3"/>
    <s v="Bihar"/>
    <s v="Patna"/>
    <x v="1"/>
    <s v="Phones"/>
    <x v="11"/>
    <n v="1"/>
    <n v="18700.53"/>
    <n v="0.1"/>
    <n v="16830.48"/>
    <n v="2664.97"/>
    <s v="UPI"/>
  </r>
  <r>
    <s v="ORD-01247"/>
    <x v="219"/>
    <s v="CUST-0046"/>
    <s v="Customer 0046"/>
    <s v="Consumer"/>
    <x v="3"/>
    <s v="Bihar"/>
    <s v="Patna"/>
    <x v="2"/>
    <s v="Stationery"/>
    <x v="9"/>
    <n v="2"/>
    <n v="360.52"/>
    <n v="0.1"/>
    <n v="648.94000000000005"/>
    <n v="136.27000000000001"/>
    <s v="Net Banking"/>
  </r>
  <r>
    <s v="ORD-00205"/>
    <x v="219"/>
    <s v="CUST-0016"/>
    <s v="Customer 0016"/>
    <s v="Small Business"/>
    <x v="3"/>
    <s v="Bihar"/>
    <s v="Patna"/>
    <x v="0"/>
    <s v="Storage"/>
    <x v="4"/>
    <n v="2"/>
    <n v="14826.52"/>
    <n v="0"/>
    <n v="29653.040000000001"/>
    <n v="5090.8900000000003"/>
    <s v="Cash"/>
  </r>
  <r>
    <s v="ORD-01476"/>
    <x v="219"/>
    <s v="CUST-0089"/>
    <s v="Customer 0089"/>
    <s v="Consumer"/>
    <x v="2"/>
    <s v="Delhi"/>
    <s v="Delhi"/>
    <x v="1"/>
    <s v="Phones"/>
    <x v="11"/>
    <n v="3"/>
    <n v="18508.919999999998"/>
    <n v="0.1"/>
    <n v="49974.080000000002"/>
    <n v="8655.31"/>
    <s v="Cash"/>
  </r>
  <r>
    <s v="ORD-00137"/>
    <x v="219"/>
    <s v="CUST-0012"/>
    <s v="Customer 0012"/>
    <s v="Consumer"/>
    <x v="2"/>
    <s v="Uttar Pradesh"/>
    <s v="Lucknow"/>
    <x v="0"/>
    <s v="Storage"/>
    <x v="4"/>
    <n v="5"/>
    <n v="13782.16"/>
    <n v="0.2"/>
    <n v="55128.639999999999"/>
    <n v="12146.71"/>
    <s v="Net Banking"/>
  </r>
  <r>
    <s v="ORD-00745"/>
    <x v="219"/>
    <s v="CUST-0245"/>
    <s v="Customer 0245"/>
    <s v="Small Business"/>
    <x v="1"/>
    <s v="Tamil Nadu"/>
    <s v="Chennai"/>
    <x v="1"/>
    <s v="Accessories"/>
    <x v="8"/>
    <n v="1"/>
    <n v="1724.17"/>
    <n v="0.1"/>
    <n v="1551.75"/>
    <n v="233.43"/>
    <s v="Net Banking"/>
  </r>
  <r>
    <s v="ORD-00742"/>
    <x v="219"/>
    <s v="CUST-0087"/>
    <s v="Customer 0087"/>
    <s v="Consumer"/>
    <x v="2"/>
    <s v="Rajasthan"/>
    <s v="Jaipur"/>
    <x v="2"/>
    <s v="Stationery"/>
    <x v="13"/>
    <n v="1"/>
    <n v="603.25"/>
    <n v="0"/>
    <n v="603.25"/>
    <n v="182.43"/>
    <s v="UPI"/>
  </r>
  <r>
    <s v="ORD-01166"/>
    <x v="219"/>
    <s v="CUST-0234"/>
    <s v="Customer 0234"/>
    <s v="Small Business"/>
    <x v="0"/>
    <s v="Maharashtra"/>
    <s v="Pune"/>
    <x v="1"/>
    <s v="Accessories"/>
    <x v="8"/>
    <n v="2"/>
    <n v="1741.9"/>
    <n v="0"/>
    <n v="3483.8"/>
    <n v="704.51"/>
    <s v="Net Banking"/>
  </r>
  <r>
    <s v="ORD-01002"/>
    <x v="220"/>
    <s v="CUST-0149"/>
    <s v="Customer 0149"/>
    <s v="Consumer"/>
    <x v="1"/>
    <s v="Karnataka"/>
    <s v="Bengaluru"/>
    <x v="1"/>
    <s v="Laptops"/>
    <x v="5"/>
    <n v="1"/>
    <n v="48025.59"/>
    <n v="0.1"/>
    <n v="43223.03"/>
    <n v="6401.9"/>
    <s v="Net Banking"/>
  </r>
  <r>
    <s v="ORD-01236"/>
    <x v="220"/>
    <s v="CUST-0031"/>
    <s v="Customer 0031"/>
    <s v="Consumer"/>
    <x v="0"/>
    <s v="Maharashtra"/>
    <s v="Mumbai"/>
    <x v="1"/>
    <s v="Laptops"/>
    <x v="5"/>
    <n v="2"/>
    <n v="46457.32"/>
    <n v="0.2"/>
    <n v="74331.710000000006"/>
    <n v="9951.92"/>
    <s v="Cash"/>
  </r>
  <r>
    <s v="ORD-00241"/>
    <x v="221"/>
    <s v="CUST-0175"/>
    <s v="Customer 0175"/>
    <s v="Corporate"/>
    <x v="3"/>
    <s v="Odisha"/>
    <s v="Bhubaneswar"/>
    <x v="2"/>
    <s v="Stationery"/>
    <x v="9"/>
    <n v="2"/>
    <n v="339.52"/>
    <n v="0.2"/>
    <n v="543.23"/>
    <n v="59.3"/>
    <s v="Net Banking"/>
  </r>
  <r>
    <s v="ORD-00670"/>
    <x v="221"/>
    <s v="CUST-0246"/>
    <s v="Customer 0246"/>
    <s v="Consumer"/>
    <x v="1"/>
    <s v="Karnataka"/>
    <s v="Bengaluru"/>
    <x v="1"/>
    <s v="Phones"/>
    <x v="1"/>
    <n v="5"/>
    <n v="41152.230000000003"/>
    <n v="0.1"/>
    <n v="185185.04"/>
    <n v="12340.94"/>
    <s v="UPI"/>
  </r>
  <r>
    <s v="ORD-00389"/>
    <x v="221"/>
    <s v="CUST-0088"/>
    <s v="Customer 0088"/>
    <s v="Small Business"/>
    <x v="2"/>
    <s v="Delhi"/>
    <s v="Delhi"/>
    <x v="2"/>
    <s v="Stationery"/>
    <x v="13"/>
    <n v="2"/>
    <n v="570.97"/>
    <n v="0.15"/>
    <n v="970.65"/>
    <n v="288.45"/>
    <s v="Cash"/>
  </r>
  <r>
    <s v="ORD-01491"/>
    <x v="222"/>
    <s v="CUST-0193"/>
    <s v="Customer 0193"/>
    <s v="Corporate"/>
    <x v="0"/>
    <s v="Gujarat"/>
    <s v="Ahmedabad"/>
    <x v="1"/>
    <s v="Laptops"/>
    <x v="5"/>
    <n v="4"/>
    <n v="49325.04"/>
    <n v="0"/>
    <n v="197300.16"/>
    <n v="32735.83"/>
    <s v="Cash"/>
  </r>
  <r>
    <s v="ORD-00116"/>
    <x v="222"/>
    <s v="CUST-0007"/>
    <s v="Customer 0007"/>
    <s v="Consumer"/>
    <x v="3"/>
    <s v="Bihar"/>
    <s v="Patna"/>
    <x v="1"/>
    <s v="Phones"/>
    <x v="1"/>
    <n v="4"/>
    <n v="43338.9"/>
    <n v="0.05"/>
    <n v="164687.82"/>
    <n v="18171.38"/>
    <s v="UPI"/>
  </r>
  <r>
    <s v="ORD-01204"/>
    <x v="223"/>
    <s v="CUST-0231"/>
    <s v="Customer 0231"/>
    <s v="Small Business"/>
    <x v="1"/>
    <s v="Telangana"/>
    <s v="Hyderabad"/>
    <x v="1"/>
    <s v="Laptops"/>
    <x v="5"/>
    <n v="1"/>
    <n v="49146.37"/>
    <n v="0"/>
    <n v="49146.37"/>
    <n v="5387.13"/>
    <s v="Card"/>
  </r>
  <r>
    <s v="ORD-00526"/>
    <x v="223"/>
    <s v="CUST-0077"/>
    <s v="Customer 0077"/>
    <s v="Consumer"/>
    <x v="0"/>
    <s v="Maharashtra"/>
    <s v="Pune"/>
    <x v="0"/>
    <s v="Tables"/>
    <x v="12"/>
    <n v="1"/>
    <n v="6673.06"/>
    <n v="0.1"/>
    <n v="6005.75"/>
    <n v="830.98"/>
    <s v="Net Banking"/>
  </r>
  <r>
    <s v="ORD-00792"/>
    <x v="223"/>
    <s v="CUST-0239"/>
    <s v="Customer 0239"/>
    <s v="Consumer"/>
    <x v="1"/>
    <s v="Tamil Nadu"/>
    <s v="Chennai"/>
    <x v="1"/>
    <s v="Phones"/>
    <x v="1"/>
    <n v="3"/>
    <n v="40708.839999999997"/>
    <n v="0.15"/>
    <n v="103807.54"/>
    <n v="4671.26"/>
    <s v="UPI"/>
  </r>
  <r>
    <s v="ORD-00838"/>
    <x v="223"/>
    <s v="CUST-0130"/>
    <s v="Customer 0130"/>
    <s v="Consumer"/>
    <x v="2"/>
    <s v="Rajasthan"/>
    <s v="Jaipur"/>
    <x v="0"/>
    <s v="Tables"/>
    <x v="0"/>
    <n v="2"/>
    <n v="12555.44"/>
    <n v="0.1"/>
    <n v="22599.79"/>
    <n v="4351.2700000000004"/>
    <s v="UPI"/>
  </r>
  <r>
    <s v="ORD-01284"/>
    <x v="224"/>
    <s v="CUST-0247"/>
    <s v="Customer 0247"/>
    <s v="Consumer"/>
    <x v="2"/>
    <s v="Rajasthan"/>
    <s v="Jaipur"/>
    <x v="0"/>
    <s v="Tables"/>
    <x v="12"/>
    <n v="3"/>
    <n v="6357.3"/>
    <n v="0.1"/>
    <n v="17164.71"/>
    <n v="3340.41"/>
    <s v="Card"/>
  </r>
  <r>
    <s v="ORD-01056"/>
    <x v="224"/>
    <s v="CUST-0224"/>
    <s v="Customer 0224"/>
    <s v="Consumer"/>
    <x v="1"/>
    <s v="Tamil Nadu"/>
    <s v="Chennai"/>
    <x v="2"/>
    <s v="Stationery"/>
    <x v="9"/>
    <n v="1"/>
    <n v="362.56"/>
    <n v="0.15"/>
    <n v="308.18"/>
    <n v="58.36"/>
    <s v="Card"/>
  </r>
  <r>
    <s v="ORD-01218"/>
    <x v="224"/>
    <s v="CUST-0150"/>
    <s v="Customer 0150"/>
    <s v="Small Business"/>
    <x v="1"/>
    <s v="Tamil Nadu"/>
    <s v="Chennai"/>
    <x v="0"/>
    <s v="Tables"/>
    <x v="12"/>
    <n v="2"/>
    <n v="6493.58"/>
    <n v="0.1"/>
    <n v="11688.44"/>
    <n v="1320.94"/>
    <s v="Cash"/>
  </r>
  <r>
    <s v="ORD-00281"/>
    <x v="224"/>
    <s v="CUST-0030"/>
    <s v="Customer 0030"/>
    <s v="Consumer"/>
    <x v="0"/>
    <s v="Gujarat"/>
    <s v="Ahmedabad"/>
    <x v="0"/>
    <s v="Tables"/>
    <x v="12"/>
    <n v="3"/>
    <n v="6293.05"/>
    <n v="0.15"/>
    <n v="16047.28"/>
    <n v="2094.62"/>
    <s v="Cash"/>
  </r>
  <r>
    <s v="ORD-00664"/>
    <x v="224"/>
    <s v="CUST-0281"/>
    <s v="Customer 0281"/>
    <s v="Consumer"/>
    <x v="3"/>
    <s v="Odisha"/>
    <s v="Bhubaneswar"/>
    <x v="0"/>
    <s v="Storage"/>
    <x v="4"/>
    <n v="1"/>
    <n v="14707.89"/>
    <n v="0"/>
    <n v="14707.89"/>
    <n v="2382.6999999999998"/>
    <s v="UPI"/>
  </r>
  <r>
    <s v="ORD-01147"/>
    <x v="225"/>
    <s v="CUST-0188"/>
    <s v="Customer 0188"/>
    <s v="Consumer"/>
    <x v="1"/>
    <s v="Karnataka"/>
    <s v="Bengaluru"/>
    <x v="1"/>
    <s v="Accessories"/>
    <x v="3"/>
    <n v="2"/>
    <n v="1238.1500000000001"/>
    <n v="0.1"/>
    <n v="2228.67"/>
    <n v="334.94"/>
    <s v="UPI"/>
  </r>
  <r>
    <s v="ORD-00375"/>
    <x v="225"/>
    <s v="CUST-0108"/>
    <s v="Customer 0108"/>
    <s v="Consumer"/>
    <x v="3"/>
    <s v="West Bengal"/>
    <s v="Kolkata"/>
    <x v="0"/>
    <s v="Storage"/>
    <x v="4"/>
    <n v="4"/>
    <n v="14999.11"/>
    <n v="0.05"/>
    <n v="56996.62"/>
    <n v="10602.35"/>
    <s v="Card"/>
  </r>
  <r>
    <s v="ORD-00677"/>
    <x v="225"/>
    <s v="CUST-0010"/>
    <s v="Customer 0010"/>
    <s v="Consumer"/>
    <x v="2"/>
    <s v="Uttar Pradesh"/>
    <s v="Lucknow"/>
    <x v="0"/>
    <s v="Tables"/>
    <x v="12"/>
    <n v="2"/>
    <n v="6736.23"/>
    <n v="0.05"/>
    <n v="12798.84"/>
    <n v="3190.16"/>
    <s v="Cash"/>
  </r>
  <r>
    <s v="ORD-00064"/>
    <x v="225"/>
    <s v="CUST-0083"/>
    <s v="Customer 0083"/>
    <s v="Consumer"/>
    <x v="0"/>
    <s v="Maharashtra"/>
    <s v="Mumbai"/>
    <x v="2"/>
    <s v="Stationery"/>
    <x v="9"/>
    <n v="1"/>
    <n v="353.76"/>
    <n v="0.15"/>
    <n v="300.7"/>
    <n v="49.67"/>
    <s v="UPI"/>
  </r>
  <r>
    <s v="ORD-01148"/>
    <x v="225"/>
    <s v="CUST-0275"/>
    <s v="Customer 0275"/>
    <s v="Corporate"/>
    <x v="2"/>
    <s v="Rajasthan"/>
    <s v="Jaipur"/>
    <x v="0"/>
    <s v="Chairs"/>
    <x v="7"/>
    <n v="2"/>
    <n v="8084.37"/>
    <n v="0.05"/>
    <n v="15360.3"/>
    <n v="3927.75"/>
    <s v="Net Banking"/>
  </r>
  <r>
    <s v="ORD-01101"/>
    <x v="225"/>
    <s v="CUST-0059"/>
    <s v="Customer 0059"/>
    <s v="Consumer"/>
    <x v="0"/>
    <s v="Maharashtra"/>
    <s v="Pune"/>
    <x v="1"/>
    <s v="Laptops"/>
    <x v="10"/>
    <n v="4"/>
    <n v="62401.37"/>
    <n v="0.05"/>
    <n v="237125.21"/>
    <n v="40126.949999999997"/>
    <s v="Card"/>
  </r>
  <r>
    <s v="ORD-00661"/>
    <x v="226"/>
    <s v="CUST-0077"/>
    <s v="Customer 0077"/>
    <s v="Consumer"/>
    <x v="1"/>
    <s v="Karnataka"/>
    <s v="Bengaluru"/>
    <x v="2"/>
    <s v="Stationery"/>
    <x v="9"/>
    <n v="1"/>
    <n v="344.41"/>
    <n v="0.1"/>
    <n v="309.97000000000003"/>
    <n v="93.09"/>
    <s v="Net Banking"/>
  </r>
  <r>
    <s v="ORD-01243"/>
    <x v="226"/>
    <s v="CUST-0009"/>
    <s v="Customer 0009"/>
    <s v="Consumer"/>
    <x v="2"/>
    <s v="Uttar Pradesh"/>
    <s v="Lucknow"/>
    <x v="2"/>
    <s v="Paper"/>
    <x v="6"/>
    <n v="5"/>
    <n v="457.2"/>
    <n v="0.15"/>
    <n v="1943.1"/>
    <n v="451.29"/>
    <s v="Net Banking"/>
  </r>
  <r>
    <s v="ORD-00913"/>
    <x v="226"/>
    <s v="CUST-0030"/>
    <s v="Customer 0030"/>
    <s v="Small Business"/>
    <x v="1"/>
    <s v="Karnataka"/>
    <s v="Bengaluru"/>
    <x v="0"/>
    <s v="Tables"/>
    <x v="12"/>
    <n v="4"/>
    <n v="6409.09"/>
    <n v="0.1"/>
    <n v="23072.720000000001"/>
    <n v="3856.8"/>
    <s v="Cash"/>
  </r>
  <r>
    <s v="ORD-00010"/>
    <x v="227"/>
    <s v="CUST-0042"/>
    <s v="Customer 0042"/>
    <s v="Consumer"/>
    <x v="0"/>
    <s v="Gujarat"/>
    <s v="Ahmedabad"/>
    <x v="2"/>
    <s v="Paper"/>
    <x v="6"/>
    <n v="1"/>
    <n v="448.89"/>
    <n v="0.15"/>
    <n v="381.56"/>
    <n v="84.54"/>
    <s v="UPI"/>
  </r>
  <r>
    <s v="ORD-00555"/>
    <x v="227"/>
    <s v="CUST-0143"/>
    <s v="Customer 0143"/>
    <s v="Consumer"/>
    <x v="0"/>
    <s v="Maharashtra"/>
    <s v="Pune"/>
    <x v="0"/>
    <s v="Tables"/>
    <x v="12"/>
    <n v="3"/>
    <n v="6369.71"/>
    <n v="0.1"/>
    <n v="17198.22"/>
    <n v="3110.3"/>
    <s v="Net Banking"/>
  </r>
  <r>
    <s v="ORD-01277"/>
    <x v="227"/>
    <s v="CUST-0223"/>
    <s v="Customer 0223"/>
    <s v="Small Business"/>
    <x v="1"/>
    <s v="Tamil Nadu"/>
    <s v="Chennai"/>
    <x v="2"/>
    <s v="Stationery"/>
    <x v="9"/>
    <n v="2"/>
    <n v="344.35"/>
    <n v="0"/>
    <n v="688.7"/>
    <n v="158.21"/>
    <s v="Card"/>
  </r>
  <r>
    <s v="ORD-00644"/>
    <x v="227"/>
    <s v="CUST-0288"/>
    <s v="Customer 0288"/>
    <s v="Consumer"/>
    <x v="3"/>
    <s v="Bihar"/>
    <s v="Patna"/>
    <x v="2"/>
    <s v="Paper"/>
    <x v="6"/>
    <n v="3"/>
    <n v="454.95"/>
    <n v="0.05"/>
    <n v="1296.6099999999999"/>
    <n v="282.26"/>
    <s v="Cash"/>
  </r>
  <r>
    <s v="ORD-01442"/>
    <x v="227"/>
    <s v="CUST-0169"/>
    <s v="Customer 0169"/>
    <s v="Consumer"/>
    <x v="1"/>
    <s v="Telangana"/>
    <s v="Hyderabad"/>
    <x v="1"/>
    <s v="Phones"/>
    <x v="1"/>
    <n v="2"/>
    <n v="42720.29"/>
    <n v="0.15"/>
    <n v="72624.490000000005"/>
    <n v="12604.22"/>
    <s v="Cash"/>
  </r>
  <r>
    <s v="ORD-00587"/>
    <x v="228"/>
    <s v="CUST-0199"/>
    <s v="Customer 0199"/>
    <s v="Consumer"/>
    <x v="3"/>
    <s v="Odisha"/>
    <s v="Bhubaneswar"/>
    <x v="1"/>
    <s v="Accessories"/>
    <x v="8"/>
    <n v="3"/>
    <n v="1873.06"/>
    <n v="0.05"/>
    <n v="5338.22"/>
    <n v="483.1"/>
    <s v="Net Banking"/>
  </r>
  <r>
    <s v="ORD-01199"/>
    <x v="228"/>
    <s v="CUST-0215"/>
    <s v="Customer 0215"/>
    <s v="Consumer"/>
    <x v="3"/>
    <s v="West Bengal"/>
    <s v="Kolkata"/>
    <x v="2"/>
    <s v="Stationery"/>
    <x v="9"/>
    <n v="3"/>
    <n v="334.22"/>
    <n v="0.2"/>
    <n v="802.13"/>
    <n v="161.94999999999999"/>
    <s v="Net Banking"/>
  </r>
  <r>
    <s v="ORD-01046"/>
    <x v="228"/>
    <s v="CUST-0080"/>
    <s v="Customer 0080"/>
    <s v="Corporate"/>
    <x v="1"/>
    <s v="Tamil Nadu"/>
    <s v="Chennai"/>
    <x v="1"/>
    <s v="Accessories"/>
    <x v="8"/>
    <n v="4"/>
    <n v="1719.65"/>
    <n v="0.2"/>
    <n v="5502.88"/>
    <n v="612.95000000000005"/>
    <s v="UPI"/>
  </r>
  <r>
    <s v="ORD-01406"/>
    <x v="228"/>
    <s v="CUST-0017"/>
    <s v="Customer 0017"/>
    <s v="Consumer"/>
    <x v="1"/>
    <s v="Tamil Nadu"/>
    <s v="Chennai"/>
    <x v="1"/>
    <s v="Phones"/>
    <x v="11"/>
    <n v="2"/>
    <n v="17342.41"/>
    <n v="0.15"/>
    <n v="29482.1"/>
    <n v="4759.71"/>
    <s v="Card"/>
  </r>
  <r>
    <s v="ORD-00013"/>
    <x v="229"/>
    <s v="CUST-0137"/>
    <s v="Customer 0137"/>
    <s v="Consumer"/>
    <x v="3"/>
    <s v="Bihar"/>
    <s v="Patna"/>
    <x v="1"/>
    <s v="Accessories"/>
    <x v="8"/>
    <n v="3"/>
    <n v="1753.94"/>
    <n v="0.05"/>
    <n v="4998.7299999999996"/>
    <n v="479.01"/>
    <s v="Net Banking"/>
  </r>
  <r>
    <s v="ORD-00317"/>
    <x v="230"/>
    <s v="CUST-0292"/>
    <s v="Customer 0292"/>
    <s v="Small Business"/>
    <x v="1"/>
    <s v="Karnataka"/>
    <s v="Bengaluru"/>
    <x v="0"/>
    <s v="Tables"/>
    <x v="0"/>
    <n v="2"/>
    <n v="11940.57"/>
    <n v="0.2"/>
    <n v="19104.91"/>
    <n v="1072.27"/>
    <s v="UPI"/>
  </r>
  <r>
    <s v="ORD-00557"/>
    <x v="230"/>
    <s v="CUST-0092"/>
    <s v="Customer 0092"/>
    <s v="Consumer"/>
    <x v="2"/>
    <s v="Uttar Pradesh"/>
    <s v="Lucknow"/>
    <x v="0"/>
    <s v="Storage"/>
    <x v="4"/>
    <n v="1"/>
    <n v="14688.75"/>
    <n v="0.15"/>
    <n v="12485.44"/>
    <n v="3124.44"/>
    <s v="Net Banking"/>
  </r>
  <r>
    <s v="ORD-00945"/>
    <x v="230"/>
    <s v="CUST-0201"/>
    <s v="Customer 0201"/>
    <s v="Consumer"/>
    <x v="1"/>
    <s v="Karnataka"/>
    <s v="Bengaluru"/>
    <x v="0"/>
    <s v="Storage"/>
    <x v="4"/>
    <n v="1"/>
    <n v="14586.83"/>
    <n v="0.1"/>
    <n v="13128.15"/>
    <n v="2860.33"/>
    <s v="UPI"/>
  </r>
  <r>
    <s v="ORD-00751"/>
    <x v="230"/>
    <s v="CUST-0227"/>
    <s v="Customer 0227"/>
    <s v="Consumer"/>
    <x v="0"/>
    <s v="Gujarat"/>
    <s v="Ahmedabad"/>
    <x v="1"/>
    <s v="Phones"/>
    <x v="11"/>
    <n v="4"/>
    <n v="17435.84"/>
    <n v="0.1"/>
    <n v="62769.02"/>
    <n v="5504.45"/>
    <s v="UPI"/>
  </r>
  <r>
    <s v="ORD-00756"/>
    <x v="231"/>
    <s v="CUST-0144"/>
    <s v="Customer 0144"/>
    <s v="Consumer"/>
    <x v="0"/>
    <s v="Maharashtra"/>
    <s v="Mumbai"/>
    <x v="1"/>
    <s v="Phones"/>
    <x v="1"/>
    <n v="4"/>
    <n v="42612.19"/>
    <n v="0"/>
    <n v="170448.76"/>
    <n v="19603.580000000002"/>
    <s v="UPI"/>
  </r>
  <r>
    <s v="ORD-00519"/>
    <x v="231"/>
    <s v="CUST-0082"/>
    <s v="Customer 0082"/>
    <s v="Consumer"/>
    <x v="2"/>
    <s v="Uttar Pradesh"/>
    <s v="Lucknow"/>
    <x v="1"/>
    <s v="Phones"/>
    <x v="1"/>
    <n v="1"/>
    <n v="43959.81"/>
    <n v="0.15"/>
    <n v="37365.839999999997"/>
    <n v="4298.72"/>
    <s v="Card"/>
  </r>
  <r>
    <s v="ORD-00788"/>
    <x v="231"/>
    <s v="CUST-0134"/>
    <s v="Customer 0134"/>
    <s v="Small Business"/>
    <x v="2"/>
    <s v="Uttar Pradesh"/>
    <s v="Lucknow"/>
    <x v="2"/>
    <s v="Stationery"/>
    <x v="9"/>
    <n v="1"/>
    <n v="334.47"/>
    <n v="0"/>
    <n v="334.47"/>
    <n v="108.25"/>
    <s v="Cash"/>
  </r>
  <r>
    <s v="ORD-01055"/>
    <x v="231"/>
    <s v="CUST-0009"/>
    <s v="Customer 0009"/>
    <s v="Consumer"/>
    <x v="1"/>
    <s v="Karnataka"/>
    <s v="Bengaluru"/>
    <x v="2"/>
    <s v="Paper"/>
    <x v="6"/>
    <n v="1"/>
    <n v="458.11"/>
    <n v="0.05"/>
    <n v="435.2"/>
    <n v="63.11"/>
    <s v="Cash"/>
  </r>
  <r>
    <s v="ORD-00257"/>
    <x v="231"/>
    <s v="CUST-0028"/>
    <s v="Customer 0028"/>
    <s v="Small Business"/>
    <x v="0"/>
    <s v="Maharashtra"/>
    <s v="Pune"/>
    <x v="1"/>
    <s v="Phones"/>
    <x v="1"/>
    <n v="1"/>
    <n v="41866.25"/>
    <n v="0.1"/>
    <n v="37679.620000000003"/>
    <n v="5612.42"/>
    <s v="Cash"/>
  </r>
  <r>
    <s v="ORD-00227"/>
    <x v="231"/>
    <s v="CUST-0117"/>
    <s v="Customer 0117"/>
    <s v="Small Business"/>
    <x v="2"/>
    <s v="Rajasthan"/>
    <s v="Jaipur"/>
    <x v="2"/>
    <s v="Stationery"/>
    <x v="13"/>
    <n v="1"/>
    <n v="578.53"/>
    <n v="0.1"/>
    <n v="520.67999999999995"/>
    <n v="68.62"/>
    <s v="UPI"/>
  </r>
  <r>
    <s v="ORD-00765"/>
    <x v="232"/>
    <s v="CUST-0207"/>
    <s v="Customer 0207"/>
    <s v="Consumer"/>
    <x v="2"/>
    <s v="Delhi"/>
    <s v="Delhi"/>
    <x v="2"/>
    <s v="Storage"/>
    <x v="2"/>
    <n v="2"/>
    <n v="780.09"/>
    <n v="0.1"/>
    <n v="1404.16"/>
    <n v="229.23"/>
    <s v="UPI"/>
  </r>
  <r>
    <s v="ORD-01294"/>
    <x v="232"/>
    <s v="CUST-0175"/>
    <s v="Customer 0175"/>
    <s v="Consumer"/>
    <x v="3"/>
    <s v="Bihar"/>
    <s v="Patna"/>
    <x v="1"/>
    <s v="Accessories"/>
    <x v="3"/>
    <n v="3"/>
    <n v="1225.76"/>
    <n v="0.05"/>
    <n v="3493.42"/>
    <n v="416.13"/>
    <s v="Card"/>
  </r>
  <r>
    <s v="ORD-00649"/>
    <x v="232"/>
    <s v="CUST-0042"/>
    <s v="Customer 0042"/>
    <s v="Corporate"/>
    <x v="3"/>
    <s v="West Bengal"/>
    <s v="Kolkata"/>
    <x v="2"/>
    <s v="Paper"/>
    <x v="6"/>
    <n v="1"/>
    <n v="445.86"/>
    <n v="0.2"/>
    <n v="356.69"/>
    <n v="47.94"/>
    <s v="UPI"/>
  </r>
  <r>
    <s v="ORD-00120"/>
    <x v="232"/>
    <s v="CUST-0181"/>
    <s v="Customer 0181"/>
    <s v="Small Business"/>
    <x v="2"/>
    <s v="Delhi"/>
    <s v="Delhi"/>
    <x v="2"/>
    <s v="Stationery"/>
    <x v="9"/>
    <n v="5"/>
    <n v="348.67"/>
    <n v="0"/>
    <n v="1743.35"/>
    <n v="261.93"/>
    <s v="Net Banking"/>
  </r>
  <r>
    <s v="ORD-00103"/>
    <x v="232"/>
    <s v="CUST-0039"/>
    <s v="Customer 0039"/>
    <s v="Consumer"/>
    <x v="0"/>
    <s v="Gujarat"/>
    <s v="Ahmedabad"/>
    <x v="2"/>
    <s v="Stationery"/>
    <x v="13"/>
    <n v="1"/>
    <n v="572.26"/>
    <n v="0"/>
    <n v="572.26"/>
    <n v="140.75"/>
    <s v="Cash"/>
  </r>
  <r>
    <s v="ORD-00586"/>
    <x v="233"/>
    <s v="CUST-0259"/>
    <s v="Customer 0259"/>
    <s v="Consumer"/>
    <x v="0"/>
    <s v="Maharashtra"/>
    <s v="Mumbai"/>
    <x v="1"/>
    <s v="Accessories"/>
    <x v="8"/>
    <n v="1"/>
    <n v="1880.16"/>
    <n v="0.1"/>
    <n v="1692.14"/>
    <n v="311.02"/>
    <s v="Card"/>
  </r>
  <r>
    <s v="ORD-01432"/>
    <x v="233"/>
    <s v="CUST-0182"/>
    <s v="Customer 0182"/>
    <s v="Corporate"/>
    <x v="2"/>
    <s v="Rajasthan"/>
    <s v="Jaipur"/>
    <x v="1"/>
    <s v="Phones"/>
    <x v="1"/>
    <n v="1"/>
    <n v="43522.15"/>
    <n v="0.05"/>
    <n v="41346.04"/>
    <n v="4131.68"/>
    <s v="Net Banking"/>
  </r>
  <r>
    <s v="ORD-00353"/>
    <x v="233"/>
    <s v="CUST-0137"/>
    <s v="Customer 0137"/>
    <s v="Small Business"/>
    <x v="0"/>
    <s v="Maharashtra"/>
    <s v="Pune"/>
    <x v="1"/>
    <s v="Laptops"/>
    <x v="10"/>
    <n v="1"/>
    <n v="64668.75"/>
    <n v="0"/>
    <n v="64668.75"/>
    <n v="7323.54"/>
    <s v="Card"/>
  </r>
  <r>
    <s v="ORD-00351"/>
    <x v="234"/>
    <s v="CUST-0272"/>
    <s v="Customer 0272"/>
    <s v="Corporate"/>
    <x v="2"/>
    <s v="Delhi"/>
    <s v="Delhi"/>
    <x v="2"/>
    <s v="Storage"/>
    <x v="2"/>
    <n v="3"/>
    <n v="765.31"/>
    <n v="0.1"/>
    <n v="2066.34"/>
    <n v="656.35"/>
    <s v="Card"/>
  </r>
  <r>
    <s v="ORD-01122"/>
    <x v="234"/>
    <s v="CUST-0294"/>
    <s v="Customer 0294"/>
    <s v="Corporate"/>
    <x v="2"/>
    <s v="Delhi"/>
    <s v="Delhi"/>
    <x v="2"/>
    <s v="Stationery"/>
    <x v="9"/>
    <n v="4"/>
    <n v="361.29"/>
    <n v="0"/>
    <n v="1445.16"/>
    <n v="362.63"/>
    <s v="Net Banking"/>
  </r>
  <r>
    <s v="ORD-00032"/>
    <x v="234"/>
    <s v="CUST-0154"/>
    <s v="Customer 0154"/>
    <s v="Consumer"/>
    <x v="0"/>
    <s v="Gujarat"/>
    <s v="Ahmedabad"/>
    <x v="2"/>
    <s v="Stationery"/>
    <x v="9"/>
    <n v="3"/>
    <n v="336.56"/>
    <n v="0"/>
    <n v="1009.68"/>
    <n v="160.74"/>
    <s v="Card"/>
  </r>
  <r>
    <s v="ORD-00336"/>
    <x v="235"/>
    <s v="CUST-0209"/>
    <s v="Customer 0209"/>
    <s v="Corporate"/>
    <x v="0"/>
    <s v="Maharashtra"/>
    <s v="Mumbai"/>
    <x v="0"/>
    <s v="Tables"/>
    <x v="0"/>
    <n v="4"/>
    <n v="12190.85"/>
    <n v="0.15"/>
    <n v="41448.89"/>
    <n v="4411.6000000000004"/>
    <s v="Net Banking"/>
  </r>
  <r>
    <s v="ORD-01493"/>
    <x v="235"/>
    <s v="CUST-0243"/>
    <s v="Customer 0243"/>
    <s v="Consumer"/>
    <x v="2"/>
    <s v="Uttar Pradesh"/>
    <s v="Lucknow"/>
    <x v="0"/>
    <s v="Tables"/>
    <x v="0"/>
    <n v="3"/>
    <n v="12301.96"/>
    <n v="0.05"/>
    <n v="35060.589999999997"/>
    <n v="7311.1"/>
    <s v="Cash"/>
  </r>
  <r>
    <s v="ORD-00370"/>
    <x v="235"/>
    <s v="CUST-0273"/>
    <s v="Customer 0273"/>
    <s v="Small Business"/>
    <x v="2"/>
    <s v="Rajasthan"/>
    <s v="Jaipur"/>
    <x v="1"/>
    <s v="Laptops"/>
    <x v="5"/>
    <n v="4"/>
    <n v="46747.88"/>
    <n v="0"/>
    <n v="186991.52"/>
    <n v="28370.74"/>
    <s v="Net Banking"/>
  </r>
  <r>
    <s v="ORD-00323"/>
    <x v="235"/>
    <s v="CUST-0002"/>
    <s v="Customer 0002"/>
    <s v="Consumer"/>
    <x v="2"/>
    <s v="Delhi"/>
    <s v="Delhi"/>
    <x v="2"/>
    <s v="Paper"/>
    <x v="6"/>
    <n v="2"/>
    <n v="470.63"/>
    <n v="0.05"/>
    <n v="894.2"/>
    <n v="200.61"/>
    <s v="Cash"/>
  </r>
  <r>
    <s v="ORD-01372"/>
    <x v="235"/>
    <s v="CUST-0113"/>
    <s v="Customer 0113"/>
    <s v="Consumer"/>
    <x v="0"/>
    <s v="Maharashtra"/>
    <s v="Pune"/>
    <x v="2"/>
    <s v="Paper"/>
    <x v="6"/>
    <n v="1"/>
    <n v="459.22"/>
    <n v="0"/>
    <n v="459.22"/>
    <n v="87.7"/>
    <s v="UPI"/>
  </r>
  <r>
    <s v="ORD-01462"/>
    <x v="235"/>
    <s v="CUST-0164"/>
    <s v="Customer 0164"/>
    <s v="Consumer"/>
    <x v="0"/>
    <s v="Maharashtra"/>
    <s v="Pune"/>
    <x v="1"/>
    <s v="Phones"/>
    <x v="1"/>
    <n v="3"/>
    <n v="43790.75"/>
    <n v="0.15"/>
    <n v="111666.41"/>
    <n v="7449.77"/>
    <s v="Cash"/>
  </r>
  <r>
    <s v="ORD-00503"/>
    <x v="235"/>
    <s v="CUST-0150"/>
    <s v="Customer 0150"/>
    <s v="Consumer"/>
    <x v="2"/>
    <s v="Rajasthan"/>
    <s v="Jaipur"/>
    <x v="1"/>
    <s v="Accessories"/>
    <x v="8"/>
    <n v="1"/>
    <n v="1756.15"/>
    <n v="0.1"/>
    <n v="1580.54"/>
    <n v="312.13"/>
    <s v="Cash"/>
  </r>
  <r>
    <s v="ORD-00947"/>
    <x v="236"/>
    <s v="CUST-0246"/>
    <s v="Customer 0246"/>
    <s v="Consumer"/>
    <x v="1"/>
    <s v="Telangana"/>
    <s v="Hyderabad"/>
    <x v="2"/>
    <s v="Storage"/>
    <x v="2"/>
    <n v="2"/>
    <n v="748.18"/>
    <n v="0.15"/>
    <n v="1271.9100000000001"/>
    <n v="271.43"/>
    <s v="Card"/>
  </r>
  <r>
    <s v="ORD-01054"/>
    <x v="236"/>
    <s v="CUST-0055"/>
    <s v="Customer 0055"/>
    <s v="Consumer"/>
    <x v="2"/>
    <s v="Delhi"/>
    <s v="Delhi"/>
    <x v="1"/>
    <s v="Phones"/>
    <x v="11"/>
    <n v="2"/>
    <n v="18844.66"/>
    <n v="0.05"/>
    <n v="35804.85"/>
    <n v="2701.77"/>
    <s v="Card"/>
  </r>
  <r>
    <s v="ORD-01028"/>
    <x v="236"/>
    <s v="CUST-0258"/>
    <s v="Customer 0258"/>
    <s v="Corporate"/>
    <x v="2"/>
    <s v="Delhi"/>
    <s v="Delhi"/>
    <x v="0"/>
    <s v="Storage"/>
    <x v="4"/>
    <n v="2"/>
    <n v="14150.61"/>
    <n v="0.1"/>
    <n v="25471.1"/>
    <n v="2822.82"/>
    <s v="UPI"/>
  </r>
  <r>
    <s v="ORD-00525"/>
    <x v="237"/>
    <s v="CUST-0108"/>
    <s v="Customer 0108"/>
    <s v="Consumer"/>
    <x v="0"/>
    <s v="Gujarat"/>
    <s v="Ahmedabad"/>
    <x v="0"/>
    <s v="Tables"/>
    <x v="0"/>
    <n v="1"/>
    <n v="11415.12"/>
    <n v="0.1"/>
    <n v="10273.61"/>
    <n v="2142.52"/>
    <s v="Cash"/>
  </r>
  <r>
    <s v="ORD-01212"/>
    <x v="237"/>
    <s v="CUST-0156"/>
    <s v="Customer 0156"/>
    <s v="Corporate"/>
    <x v="1"/>
    <s v="Telangana"/>
    <s v="Hyderabad"/>
    <x v="1"/>
    <s v="Accessories"/>
    <x v="3"/>
    <n v="4"/>
    <n v="1248.07"/>
    <n v="0.05"/>
    <n v="4742.67"/>
    <n v="403.49"/>
    <s v="Net Banking"/>
  </r>
  <r>
    <s v="ORD-01260"/>
    <x v="237"/>
    <s v="CUST-0146"/>
    <s v="Customer 0146"/>
    <s v="Corporate"/>
    <x v="2"/>
    <s v="Delhi"/>
    <s v="Delhi"/>
    <x v="2"/>
    <s v="Paper"/>
    <x v="6"/>
    <n v="1"/>
    <n v="450.3"/>
    <n v="0.05"/>
    <n v="427.78"/>
    <n v="82.19"/>
    <s v="Net Banking"/>
  </r>
  <r>
    <s v="ORD-00966"/>
    <x v="237"/>
    <s v="CUST-0251"/>
    <s v="Customer 0251"/>
    <s v="Consumer"/>
    <x v="3"/>
    <s v="Bihar"/>
    <s v="Patna"/>
    <x v="1"/>
    <s v="Laptops"/>
    <x v="5"/>
    <n v="4"/>
    <n v="48738.73"/>
    <n v="0.15"/>
    <n v="165711.67999999999"/>
    <n v="26333.67"/>
    <s v="Cash"/>
  </r>
  <r>
    <s v="ORD-00392"/>
    <x v="238"/>
    <s v="CUST-0225"/>
    <s v="Customer 0225"/>
    <s v="Corporate"/>
    <x v="2"/>
    <s v="Rajasthan"/>
    <s v="Jaipur"/>
    <x v="0"/>
    <s v="Tables"/>
    <x v="0"/>
    <n v="3"/>
    <n v="11471.93"/>
    <n v="0"/>
    <n v="34415.79"/>
    <n v="4851.1099999999997"/>
    <s v="Cash"/>
  </r>
  <r>
    <s v="ORD-00305"/>
    <x v="238"/>
    <s v="CUST-0242"/>
    <s v="Customer 0242"/>
    <s v="Consumer"/>
    <x v="0"/>
    <s v="Maharashtra"/>
    <s v="Pune"/>
    <x v="1"/>
    <s v="Accessories"/>
    <x v="8"/>
    <n v="4"/>
    <n v="1802.96"/>
    <n v="0"/>
    <n v="7211.84"/>
    <n v="1371.07"/>
    <s v="Cash"/>
  </r>
  <r>
    <s v="ORD-00620"/>
    <x v="238"/>
    <s v="CUST-0179"/>
    <s v="Customer 0179"/>
    <s v="Consumer"/>
    <x v="2"/>
    <s v="Uttar Pradesh"/>
    <s v="Lucknow"/>
    <x v="1"/>
    <s v="Phones"/>
    <x v="11"/>
    <n v="1"/>
    <n v="18220.28"/>
    <n v="0.2"/>
    <n v="14576.22"/>
    <n v="1544.06"/>
    <s v="Cash"/>
  </r>
  <r>
    <s v="ORD-00565"/>
    <x v="238"/>
    <s v="CUST-0177"/>
    <s v="Customer 0177"/>
    <s v="Consumer"/>
    <x v="2"/>
    <s v="Delhi"/>
    <s v="Delhi"/>
    <x v="1"/>
    <s v="Accessories"/>
    <x v="3"/>
    <n v="1"/>
    <n v="1220.31"/>
    <n v="0.15"/>
    <n v="1037.26"/>
    <n v="113.51"/>
    <s v="UPI"/>
  </r>
  <r>
    <s v="ORD-00605"/>
    <x v="238"/>
    <s v="CUST-0040"/>
    <s v="Customer 0040"/>
    <s v="Consumer"/>
    <x v="0"/>
    <s v="Maharashtra"/>
    <s v="Mumbai"/>
    <x v="0"/>
    <s v="Storage"/>
    <x v="4"/>
    <n v="1"/>
    <n v="13898.46"/>
    <n v="0.1"/>
    <n v="12508.61"/>
    <n v="1749.41"/>
    <s v="Cash"/>
  </r>
  <r>
    <s v="ORD-01274"/>
    <x v="238"/>
    <s v="CUST-0055"/>
    <s v="Customer 0055"/>
    <s v="Small Business"/>
    <x v="0"/>
    <s v="Maharashtra"/>
    <s v="Pune"/>
    <x v="2"/>
    <s v="Stationery"/>
    <x v="13"/>
    <n v="1"/>
    <n v="620.66999999999996"/>
    <n v="0"/>
    <n v="620.66999999999996"/>
    <n v="171.5"/>
    <s v="Card"/>
  </r>
  <r>
    <s v="ORD-00225"/>
    <x v="239"/>
    <s v="CUST-0161"/>
    <s v="Customer 0161"/>
    <s v="Consumer"/>
    <x v="0"/>
    <s v="Maharashtra"/>
    <s v="Pune"/>
    <x v="1"/>
    <s v="Laptops"/>
    <x v="5"/>
    <n v="2"/>
    <n v="47610.95"/>
    <n v="0"/>
    <n v="95221.9"/>
    <n v="17631.759999999998"/>
    <s v="Cash"/>
  </r>
  <r>
    <s v="ORD-00402"/>
    <x v="239"/>
    <s v="CUST-0131"/>
    <s v="Customer 0131"/>
    <s v="Corporate"/>
    <x v="1"/>
    <s v="Telangana"/>
    <s v="Hyderabad"/>
    <x v="1"/>
    <s v="Laptops"/>
    <x v="10"/>
    <n v="3"/>
    <n v="65472.18"/>
    <n v="0"/>
    <n v="196416.54"/>
    <n v="22773.34"/>
    <s v="Card"/>
  </r>
  <r>
    <s v="ORD-01312"/>
    <x v="239"/>
    <s v="CUST-0143"/>
    <s v="Customer 0143"/>
    <s v="Small Business"/>
    <x v="1"/>
    <s v="Telangana"/>
    <s v="Hyderabad"/>
    <x v="1"/>
    <s v="Laptops"/>
    <x v="10"/>
    <n v="2"/>
    <n v="63760.12"/>
    <n v="0"/>
    <n v="127520.24"/>
    <n v="26014.720000000001"/>
    <s v="Cash"/>
  </r>
  <r>
    <s v="ORD-01374"/>
    <x v="239"/>
    <s v="CUST-0062"/>
    <s v="Customer 0062"/>
    <s v="Consumer"/>
    <x v="1"/>
    <s v="Karnataka"/>
    <s v="Bengaluru"/>
    <x v="1"/>
    <s v="Phones"/>
    <x v="1"/>
    <n v="5"/>
    <n v="43493.64"/>
    <n v="0"/>
    <n v="217468.2"/>
    <n v="32010.799999999999"/>
    <s v="Cash"/>
  </r>
  <r>
    <s v="ORD-00761"/>
    <x v="239"/>
    <s v="CUST-0021"/>
    <s v="Customer 0021"/>
    <s v="Small Business"/>
    <x v="3"/>
    <s v="Odisha"/>
    <s v="Bhubaneswar"/>
    <x v="0"/>
    <s v="Tables"/>
    <x v="12"/>
    <n v="2"/>
    <n v="6349.93"/>
    <n v="0"/>
    <n v="12699.86"/>
    <n v="3155.93"/>
    <s v="UPI"/>
  </r>
  <r>
    <s v="ORD-00949"/>
    <x v="239"/>
    <s v="CUST-0174"/>
    <s v="Customer 0174"/>
    <s v="Consumer"/>
    <x v="3"/>
    <s v="Bihar"/>
    <s v="Patna"/>
    <x v="2"/>
    <s v="Paper"/>
    <x v="6"/>
    <n v="3"/>
    <n v="445.81"/>
    <n v="0"/>
    <n v="1337.43"/>
    <n v="427.44"/>
    <s v="UPI"/>
  </r>
  <r>
    <s v="ORD-01091"/>
    <x v="239"/>
    <s v="CUST-0081"/>
    <s v="Customer 0081"/>
    <s v="Corporate"/>
    <x v="1"/>
    <s v="Karnataka"/>
    <s v="Bengaluru"/>
    <x v="2"/>
    <s v="Stationery"/>
    <x v="13"/>
    <n v="4"/>
    <n v="611.07000000000005"/>
    <n v="0"/>
    <n v="2444.2800000000002"/>
    <n v="375.98"/>
    <s v="Cash"/>
  </r>
  <r>
    <s v="ORD-01173"/>
    <x v="240"/>
    <s v="CUST-0289"/>
    <s v="Customer 0289"/>
    <s v="Small Business"/>
    <x v="3"/>
    <s v="Odisha"/>
    <s v="Bhubaneswar"/>
    <x v="1"/>
    <s v="Accessories"/>
    <x v="8"/>
    <n v="1"/>
    <n v="1820.17"/>
    <n v="0.15"/>
    <n v="1547.14"/>
    <n v="182.12"/>
    <s v="UPI"/>
  </r>
  <r>
    <s v="ORD-00618"/>
    <x v="240"/>
    <s v="CUST-0230"/>
    <s v="Customer 0230"/>
    <s v="Corporate"/>
    <x v="1"/>
    <s v="Telangana"/>
    <s v="Hyderabad"/>
    <x v="1"/>
    <s v="Laptops"/>
    <x v="5"/>
    <n v="1"/>
    <n v="47458.78"/>
    <n v="0.1"/>
    <n v="42712.9"/>
    <n v="7154.17"/>
    <s v="Card"/>
  </r>
  <r>
    <s v="ORD-01036"/>
    <x v="240"/>
    <s v="CUST-0198"/>
    <s v="Customer 0198"/>
    <s v="Small Business"/>
    <x v="0"/>
    <s v="Maharashtra"/>
    <s v="Mumbai"/>
    <x v="0"/>
    <s v="Tables"/>
    <x v="0"/>
    <n v="4"/>
    <n v="11418.44"/>
    <n v="0.05"/>
    <n v="43390.07"/>
    <n v="7621.62"/>
    <s v="UPI"/>
  </r>
  <r>
    <s v="ORD-00356"/>
    <x v="240"/>
    <s v="CUST-0156"/>
    <s v="Customer 0156"/>
    <s v="Corporate"/>
    <x v="3"/>
    <s v="Bihar"/>
    <s v="Patna"/>
    <x v="0"/>
    <s v="Tables"/>
    <x v="0"/>
    <n v="3"/>
    <n v="11754.79"/>
    <n v="0"/>
    <n v="35264.370000000003"/>
    <n v="7727.78"/>
    <s v="Net Banking"/>
  </r>
  <r>
    <s v="ORD-00667"/>
    <x v="241"/>
    <s v="CUST-0106"/>
    <s v="Customer 0106"/>
    <s v="Consumer"/>
    <x v="0"/>
    <s v="Maharashtra"/>
    <s v="Pune"/>
    <x v="1"/>
    <s v="Accessories"/>
    <x v="8"/>
    <n v="2"/>
    <n v="1880.57"/>
    <n v="0"/>
    <n v="3761.14"/>
    <n v="551.1"/>
    <s v="Card"/>
  </r>
  <r>
    <s v="ORD-00961"/>
    <x v="241"/>
    <s v="CUST-0114"/>
    <s v="Customer 0114"/>
    <s v="Consumer"/>
    <x v="1"/>
    <s v="Karnataka"/>
    <s v="Bengaluru"/>
    <x v="2"/>
    <s v="Storage"/>
    <x v="2"/>
    <n v="5"/>
    <n v="717.03"/>
    <n v="0.2"/>
    <n v="2868.12"/>
    <n v="600.41"/>
    <s v="Card"/>
  </r>
  <r>
    <s v="ORD-00299"/>
    <x v="241"/>
    <s v="CUST-0248"/>
    <s v="Customer 0248"/>
    <s v="Consumer"/>
    <x v="1"/>
    <s v="Karnataka"/>
    <s v="Bengaluru"/>
    <x v="2"/>
    <s v="Stationery"/>
    <x v="13"/>
    <n v="2"/>
    <n v="612.04999999999995"/>
    <n v="0.1"/>
    <n v="1101.69"/>
    <n v="181.18"/>
    <s v="Cash"/>
  </r>
  <r>
    <s v="ORD-00204"/>
    <x v="242"/>
    <s v="CUST-0129"/>
    <s v="Customer 0129"/>
    <s v="Consumer"/>
    <x v="3"/>
    <s v="West Bengal"/>
    <s v="Kolkata"/>
    <x v="2"/>
    <s v="Stationery"/>
    <x v="9"/>
    <n v="2"/>
    <n v="361.21"/>
    <n v="0.1"/>
    <n v="650.17999999999995"/>
    <n v="118.77"/>
    <s v="Cash"/>
  </r>
  <r>
    <s v="ORD-00502"/>
    <x v="242"/>
    <s v="CUST-0234"/>
    <s v="Customer 0234"/>
    <s v="Consumer"/>
    <x v="3"/>
    <s v="West Bengal"/>
    <s v="Kolkata"/>
    <x v="1"/>
    <s v="Laptops"/>
    <x v="5"/>
    <n v="3"/>
    <n v="50178.94"/>
    <n v="0"/>
    <n v="150536.82"/>
    <n v="30284.99"/>
    <s v="Cash"/>
  </r>
  <r>
    <s v="ORD-01068"/>
    <x v="242"/>
    <s v="CUST-0265"/>
    <s v="Customer 0265"/>
    <s v="Corporate"/>
    <x v="1"/>
    <s v="Tamil Nadu"/>
    <s v="Chennai"/>
    <x v="1"/>
    <s v="Phones"/>
    <x v="11"/>
    <n v="1"/>
    <n v="17380.650000000001"/>
    <n v="0"/>
    <n v="17380.650000000001"/>
    <n v="2465.6"/>
    <s v="Net Banking"/>
  </r>
  <r>
    <s v="ORD-00490"/>
    <x v="242"/>
    <s v="CUST-0289"/>
    <s v="Customer 0289"/>
    <s v="Small Business"/>
    <x v="0"/>
    <s v="Gujarat"/>
    <s v="Ahmedabad"/>
    <x v="0"/>
    <s v="Tables"/>
    <x v="0"/>
    <n v="1"/>
    <n v="11447.91"/>
    <n v="0.05"/>
    <n v="10875.51"/>
    <n v="1953.59"/>
    <s v="Card"/>
  </r>
  <r>
    <s v="ORD-00514"/>
    <x v="242"/>
    <s v="CUST-0017"/>
    <s v="Customer 0017"/>
    <s v="Consumer"/>
    <x v="0"/>
    <s v="Gujarat"/>
    <s v="Ahmedabad"/>
    <x v="1"/>
    <s v="Phones"/>
    <x v="11"/>
    <n v="2"/>
    <n v="18447.66"/>
    <n v="0.1"/>
    <n v="33205.79"/>
    <n v="2595.38"/>
    <s v="Cash"/>
  </r>
  <r>
    <s v="ORD-00415"/>
    <x v="242"/>
    <s v="CUST-0095"/>
    <s v="Customer 0095"/>
    <s v="Small Business"/>
    <x v="3"/>
    <s v="Bihar"/>
    <s v="Patna"/>
    <x v="1"/>
    <s v="Accessories"/>
    <x v="3"/>
    <n v="1"/>
    <n v="1157.9000000000001"/>
    <n v="0.15"/>
    <n v="984.22"/>
    <n v="149.46"/>
    <s v="UPI"/>
  </r>
  <r>
    <s v="ORD-00238"/>
    <x v="242"/>
    <s v="CUST-0147"/>
    <s v="Customer 0147"/>
    <s v="Consumer"/>
    <x v="3"/>
    <s v="West Bengal"/>
    <s v="Kolkata"/>
    <x v="1"/>
    <s v="Phones"/>
    <x v="11"/>
    <n v="2"/>
    <n v="17736.23"/>
    <n v="0.1"/>
    <n v="31925.21"/>
    <n v="4253.58"/>
    <s v="Cash"/>
  </r>
  <r>
    <s v="ORD-01210"/>
    <x v="243"/>
    <s v="CUST-0288"/>
    <s v="Customer 0288"/>
    <s v="Consumer"/>
    <x v="0"/>
    <s v="Maharashtra"/>
    <s v="Pune"/>
    <x v="1"/>
    <s v="Accessories"/>
    <x v="8"/>
    <n v="2"/>
    <n v="1765.15"/>
    <n v="0.15"/>
    <n v="3000.76"/>
    <n v="390.3"/>
    <s v="Net Banking"/>
  </r>
  <r>
    <s v="ORD-00085"/>
    <x v="243"/>
    <s v="CUST-0162"/>
    <s v="Customer 0162"/>
    <s v="Consumer"/>
    <x v="2"/>
    <s v="Uttar Pradesh"/>
    <s v="Lucknow"/>
    <x v="2"/>
    <s v="Paper"/>
    <x v="6"/>
    <n v="1"/>
    <n v="459.72"/>
    <n v="0"/>
    <n v="459.72"/>
    <n v="129.54"/>
    <s v="Cash"/>
  </r>
  <r>
    <s v="ORD-00988"/>
    <x v="243"/>
    <s v="CUST-0297"/>
    <s v="Customer 0297"/>
    <s v="Consumer"/>
    <x v="0"/>
    <s v="Gujarat"/>
    <s v="Ahmedabad"/>
    <x v="2"/>
    <s v="Storage"/>
    <x v="2"/>
    <n v="3"/>
    <n v="715.54"/>
    <n v="0.05"/>
    <n v="2039.29"/>
    <n v="436.18"/>
    <s v="Net Banking"/>
  </r>
  <r>
    <s v="ORD-00102"/>
    <x v="243"/>
    <s v="CUST-0161"/>
    <s v="Customer 0161"/>
    <s v="Small Business"/>
    <x v="0"/>
    <s v="Maharashtra"/>
    <s v="Mumbai"/>
    <x v="1"/>
    <s v="Laptops"/>
    <x v="5"/>
    <n v="2"/>
    <n v="45717.120000000003"/>
    <n v="0"/>
    <n v="91434.240000000005"/>
    <n v="18452.7"/>
    <s v="UPI"/>
  </r>
  <r>
    <s v="ORD-01001"/>
    <x v="243"/>
    <s v="CUST-0214"/>
    <s v="Customer 0214"/>
    <s v="Small Business"/>
    <x v="2"/>
    <s v="Uttar Pradesh"/>
    <s v="Lucknow"/>
    <x v="2"/>
    <s v="Paper"/>
    <x v="6"/>
    <n v="4"/>
    <n v="433.37"/>
    <n v="0"/>
    <n v="1733.48"/>
    <n v="598.26"/>
    <s v="UPI"/>
  </r>
  <r>
    <s v="ORD-00209"/>
    <x v="244"/>
    <s v="CUST-0108"/>
    <s v="Customer 0108"/>
    <s v="Consumer"/>
    <x v="0"/>
    <s v="Maharashtra"/>
    <s v="Pune"/>
    <x v="1"/>
    <s v="Laptops"/>
    <x v="10"/>
    <n v="5"/>
    <n v="62570.720000000001"/>
    <n v="0.1"/>
    <n v="281568.24"/>
    <n v="44075.92"/>
    <s v="Net Banking"/>
  </r>
  <r>
    <s v="ORD-00896"/>
    <x v="244"/>
    <s v="CUST-0230"/>
    <s v="Customer 0230"/>
    <s v="Consumer"/>
    <x v="3"/>
    <s v="West Bengal"/>
    <s v="Kolkata"/>
    <x v="1"/>
    <s v="Accessories"/>
    <x v="3"/>
    <n v="1"/>
    <n v="1234.94"/>
    <n v="0"/>
    <n v="1234.94"/>
    <n v="143.51"/>
    <s v="UPI"/>
  </r>
  <r>
    <s v="ORD-00540"/>
    <x v="244"/>
    <s v="CUST-0264"/>
    <s v="Customer 0264"/>
    <s v="Consumer"/>
    <x v="1"/>
    <s v="Tamil Nadu"/>
    <s v="Chennai"/>
    <x v="0"/>
    <s v="Tables"/>
    <x v="12"/>
    <n v="3"/>
    <n v="6340.27"/>
    <n v="0.05"/>
    <n v="18069.77"/>
    <n v="3896.85"/>
    <s v="Net Banking"/>
  </r>
  <r>
    <s v="ORD-00723"/>
    <x v="244"/>
    <s v="CUST-0260"/>
    <s v="Customer 0260"/>
    <s v="Consumer"/>
    <x v="0"/>
    <s v="Maharashtra"/>
    <s v="Pune"/>
    <x v="1"/>
    <s v="Laptops"/>
    <x v="10"/>
    <n v="4"/>
    <n v="62958.57"/>
    <n v="0.1"/>
    <n v="226650.85"/>
    <n v="20186.759999999998"/>
    <s v="Cash"/>
  </r>
  <r>
    <s v="ORD-00296"/>
    <x v="244"/>
    <s v="CUST-0065"/>
    <s v="Customer 0065"/>
    <s v="Consumer"/>
    <x v="0"/>
    <s v="Maharashtra"/>
    <s v="Mumbai"/>
    <x v="1"/>
    <s v="Phones"/>
    <x v="11"/>
    <n v="2"/>
    <n v="17483.55"/>
    <n v="0.1"/>
    <n v="31470.39"/>
    <n v="6335.02"/>
    <s v="Card"/>
  </r>
  <r>
    <s v="ORD-00159"/>
    <x v="245"/>
    <s v="CUST-0226"/>
    <s v="Customer 0226"/>
    <s v="Consumer"/>
    <x v="3"/>
    <s v="Odisha"/>
    <s v="Bhubaneswar"/>
    <x v="1"/>
    <s v="Phones"/>
    <x v="11"/>
    <n v="1"/>
    <n v="17715.009999999998"/>
    <n v="0"/>
    <n v="17715.009999999998"/>
    <n v="2361.9"/>
    <s v="UPI"/>
  </r>
  <r>
    <s v="ORD-00059"/>
    <x v="245"/>
    <s v="CUST-0133"/>
    <s v="Customer 0133"/>
    <s v="Consumer"/>
    <x v="2"/>
    <s v="Rajasthan"/>
    <s v="Jaipur"/>
    <x v="1"/>
    <s v="Laptops"/>
    <x v="10"/>
    <n v="1"/>
    <n v="65022.21"/>
    <n v="0.05"/>
    <n v="61771.1"/>
    <n v="10572.98"/>
    <s v="Cash"/>
  </r>
  <r>
    <s v="ORD-00944"/>
    <x v="245"/>
    <s v="CUST-0137"/>
    <s v="Customer 0137"/>
    <s v="Corporate"/>
    <x v="1"/>
    <s v="Karnataka"/>
    <s v="Bengaluru"/>
    <x v="0"/>
    <s v="Tables"/>
    <x v="12"/>
    <n v="2"/>
    <n v="6492.26"/>
    <n v="0"/>
    <n v="12984.52"/>
    <n v="3037.4"/>
    <s v="UPI"/>
  </r>
  <r>
    <s v="ORD-00542"/>
    <x v="245"/>
    <s v="CUST-0232"/>
    <s v="Customer 0232"/>
    <s v="Consumer"/>
    <x v="1"/>
    <s v="Telangana"/>
    <s v="Hyderabad"/>
    <x v="0"/>
    <s v="Chairs"/>
    <x v="7"/>
    <n v="2"/>
    <n v="8247.43"/>
    <n v="0"/>
    <n v="16494.86"/>
    <n v="4614.12"/>
    <s v="Cash"/>
  </r>
  <r>
    <s v="ORD-00696"/>
    <x v="245"/>
    <s v="CUST-0274"/>
    <s v="Customer 0274"/>
    <s v="Corporate"/>
    <x v="3"/>
    <s v="West Bengal"/>
    <s v="Kolkata"/>
    <x v="0"/>
    <s v="Storage"/>
    <x v="4"/>
    <n v="1"/>
    <n v="14187.8"/>
    <n v="0.15"/>
    <n v="12059.63"/>
    <n v="2812.58"/>
    <s v="Cash"/>
  </r>
  <r>
    <s v="ORD-01311"/>
    <x v="245"/>
    <s v="CUST-0118"/>
    <s v="Customer 0118"/>
    <s v="Corporate"/>
    <x v="3"/>
    <s v="West Bengal"/>
    <s v="Kolkata"/>
    <x v="1"/>
    <s v="Phones"/>
    <x v="11"/>
    <n v="2"/>
    <n v="17203.36"/>
    <n v="0.05"/>
    <n v="32686.38"/>
    <n v="5145.6899999999996"/>
    <s v="Card"/>
  </r>
  <r>
    <s v="ORD-00279"/>
    <x v="245"/>
    <s v="CUST-0181"/>
    <s v="Customer 0181"/>
    <s v="Consumer"/>
    <x v="1"/>
    <s v="Karnataka"/>
    <s v="Bengaluru"/>
    <x v="0"/>
    <s v="Chairs"/>
    <x v="7"/>
    <n v="2"/>
    <n v="8183.69"/>
    <n v="0"/>
    <n v="16367.38"/>
    <n v="3968.88"/>
    <s v="Net Banking"/>
  </r>
  <r>
    <s v="ORD-00805"/>
    <x v="245"/>
    <s v="CUST-0256"/>
    <s v="Customer 0256"/>
    <s v="Corporate"/>
    <x v="3"/>
    <s v="West Bengal"/>
    <s v="Kolkata"/>
    <x v="2"/>
    <s v="Paper"/>
    <x v="6"/>
    <n v="4"/>
    <n v="467.65"/>
    <n v="0.05"/>
    <n v="1777.07"/>
    <n v="413.16"/>
    <s v="Net Banking"/>
  </r>
  <r>
    <s v="ORD-00235"/>
    <x v="246"/>
    <s v="CUST-0162"/>
    <s v="Customer 0162"/>
    <s v="Consumer"/>
    <x v="3"/>
    <s v="West Bengal"/>
    <s v="Kolkata"/>
    <x v="1"/>
    <s v="Laptops"/>
    <x v="10"/>
    <n v="1"/>
    <n v="64065.21"/>
    <n v="0.15"/>
    <n v="54455.43"/>
    <n v="8395.18"/>
    <s v="UPI"/>
  </r>
  <r>
    <s v="ORD-00412"/>
    <x v="247"/>
    <s v="CUST-0123"/>
    <s v="Customer 0123"/>
    <s v="Corporate"/>
    <x v="3"/>
    <s v="Odisha"/>
    <s v="Bhubaneswar"/>
    <x v="1"/>
    <s v="Phones"/>
    <x v="11"/>
    <n v="2"/>
    <n v="17409.75"/>
    <n v="0"/>
    <n v="34819.5"/>
    <n v="7069.32"/>
    <s v="Cash"/>
  </r>
  <r>
    <s v="ORD-00791"/>
    <x v="248"/>
    <s v="CUST-0001"/>
    <s v="Customer 0001"/>
    <s v="Consumer"/>
    <x v="1"/>
    <s v="Karnataka"/>
    <s v="Bengaluru"/>
    <x v="2"/>
    <s v="Paper"/>
    <x v="6"/>
    <n v="1"/>
    <n v="435.33"/>
    <n v="0"/>
    <n v="435.33"/>
    <n v="131.54"/>
    <s v="Net Banking"/>
  </r>
  <r>
    <s v="ORD-00937"/>
    <x v="248"/>
    <s v="CUST-0281"/>
    <s v="Customer 0281"/>
    <s v="Corporate"/>
    <x v="2"/>
    <s v="Uttar Pradesh"/>
    <s v="Lucknow"/>
    <x v="1"/>
    <s v="Phones"/>
    <x v="11"/>
    <n v="3"/>
    <n v="18385.36"/>
    <n v="0.05"/>
    <n v="52398.28"/>
    <n v="9237.9500000000007"/>
    <s v="Net Banking"/>
  </r>
  <r>
    <s v="ORD-01192"/>
    <x v="248"/>
    <s v="CUST-0105"/>
    <s v="Customer 0105"/>
    <s v="Consumer"/>
    <x v="1"/>
    <s v="Tamil Nadu"/>
    <s v="Chennai"/>
    <x v="2"/>
    <s v="Paper"/>
    <x v="6"/>
    <n v="3"/>
    <n v="438.84"/>
    <n v="0.05"/>
    <n v="1250.69"/>
    <n v="261.8"/>
    <s v="Cash"/>
  </r>
  <r>
    <s v="ORD-00041"/>
    <x v="249"/>
    <s v="CUST-0133"/>
    <s v="Customer 0133"/>
    <s v="Corporate"/>
    <x v="3"/>
    <s v="Odisha"/>
    <s v="Bhubaneswar"/>
    <x v="2"/>
    <s v="Paper"/>
    <x v="6"/>
    <n v="2"/>
    <n v="471.09"/>
    <n v="0.1"/>
    <n v="847.96"/>
    <n v="217.66"/>
    <s v="Card"/>
  </r>
  <r>
    <s v="ORD-01086"/>
    <x v="249"/>
    <s v="CUST-0030"/>
    <s v="Customer 0030"/>
    <s v="Consumer"/>
    <x v="1"/>
    <s v="Karnataka"/>
    <s v="Bengaluru"/>
    <x v="1"/>
    <s v="Accessories"/>
    <x v="8"/>
    <n v="3"/>
    <n v="1829.58"/>
    <n v="0.15"/>
    <n v="4665.43"/>
    <n v="312.18"/>
    <s v="Cash"/>
  </r>
  <r>
    <s v="ORD-00411"/>
    <x v="249"/>
    <s v="CUST-0132"/>
    <s v="Customer 0132"/>
    <s v="Consumer"/>
    <x v="2"/>
    <s v="Rajasthan"/>
    <s v="Jaipur"/>
    <x v="1"/>
    <s v="Phones"/>
    <x v="11"/>
    <n v="1"/>
    <n v="18171.41"/>
    <n v="0.1"/>
    <n v="16354.27"/>
    <n v="2905.23"/>
    <s v="Net Banking"/>
  </r>
  <r>
    <s v="ORD-01480"/>
    <x v="250"/>
    <s v="CUST-0108"/>
    <s v="Customer 0108"/>
    <s v="Small Business"/>
    <x v="3"/>
    <s v="Odisha"/>
    <s v="Bhubaneswar"/>
    <x v="1"/>
    <s v="Laptops"/>
    <x v="10"/>
    <n v="2"/>
    <n v="67516.42"/>
    <n v="0.05"/>
    <n v="128281.2"/>
    <n v="10286.790000000001"/>
    <s v="UPI"/>
  </r>
  <r>
    <s v="ORD-01302"/>
    <x v="250"/>
    <s v="CUST-0194"/>
    <s v="Customer 0194"/>
    <s v="Consumer"/>
    <x v="3"/>
    <s v="Bihar"/>
    <s v="Patna"/>
    <x v="1"/>
    <s v="Phones"/>
    <x v="1"/>
    <n v="2"/>
    <n v="42617.1"/>
    <n v="0"/>
    <n v="85234.2"/>
    <n v="13433.02"/>
    <s v="Cash"/>
  </r>
  <r>
    <s v="ORD-00282"/>
    <x v="250"/>
    <s v="CUST-0149"/>
    <s v="Customer 0149"/>
    <s v="Consumer"/>
    <x v="2"/>
    <s v="Rajasthan"/>
    <s v="Jaipur"/>
    <x v="1"/>
    <s v="Accessories"/>
    <x v="3"/>
    <n v="2"/>
    <n v="1230.46"/>
    <n v="0.05"/>
    <n v="2337.87"/>
    <n v="174.24"/>
    <s v="UPI"/>
  </r>
  <r>
    <s v="ORD-01266"/>
    <x v="250"/>
    <s v="CUST-0047"/>
    <s v="Customer 0047"/>
    <s v="Consumer"/>
    <x v="2"/>
    <s v="Rajasthan"/>
    <s v="Jaipur"/>
    <x v="0"/>
    <s v="Tables"/>
    <x v="12"/>
    <n v="1"/>
    <n v="6542.15"/>
    <n v="0"/>
    <n v="6542.15"/>
    <n v="1521.28"/>
    <s v="Net Banking"/>
  </r>
  <r>
    <s v="ORD-00186"/>
    <x v="250"/>
    <s v="CUST-0020"/>
    <s v="Customer 0020"/>
    <s v="Consumer"/>
    <x v="2"/>
    <s v="Delhi"/>
    <s v="Delhi"/>
    <x v="2"/>
    <s v="Storage"/>
    <x v="2"/>
    <n v="4"/>
    <n v="766.76"/>
    <n v="0.1"/>
    <n v="2760.34"/>
    <n v="428.38"/>
    <s v="Net Banking"/>
  </r>
  <r>
    <s v="ORD-00737"/>
    <x v="250"/>
    <s v="CUST-0171"/>
    <s v="Customer 0171"/>
    <s v="Small Business"/>
    <x v="2"/>
    <s v="Delhi"/>
    <s v="Delhi"/>
    <x v="2"/>
    <s v="Stationery"/>
    <x v="13"/>
    <n v="3"/>
    <n v="612.98"/>
    <n v="0.15"/>
    <n v="1563.1"/>
    <n v="392.32"/>
    <s v="Cash"/>
  </r>
  <r>
    <s v="ORD-01213"/>
    <x v="251"/>
    <s v="CUST-0041"/>
    <s v="Customer 0041"/>
    <s v="Consumer"/>
    <x v="2"/>
    <s v="Uttar Pradesh"/>
    <s v="Lucknow"/>
    <x v="2"/>
    <s v="Storage"/>
    <x v="2"/>
    <n v="1"/>
    <n v="719.68"/>
    <n v="0.1"/>
    <n v="647.71"/>
    <n v="110.07"/>
    <s v="Net Banking"/>
  </r>
  <r>
    <s v="ORD-00919"/>
    <x v="251"/>
    <s v="CUST-0058"/>
    <s v="Customer 0058"/>
    <s v="Small Business"/>
    <x v="3"/>
    <s v="West Bengal"/>
    <s v="Kolkata"/>
    <x v="1"/>
    <s v="Laptops"/>
    <x v="5"/>
    <n v="2"/>
    <n v="47608.24"/>
    <n v="0.15"/>
    <n v="80934.009999999995"/>
    <n v="8330.99"/>
    <s v="UPI"/>
  </r>
  <r>
    <s v="ORD-01321"/>
    <x v="251"/>
    <s v="CUST-0143"/>
    <s v="Customer 0143"/>
    <s v="Small Business"/>
    <x v="3"/>
    <s v="West Bengal"/>
    <s v="Kolkata"/>
    <x v="1"/>
    <s v="Accessories"/>
    <x v="3"/>
    <n v="3"/>
    <n v="1199.93"/>
    <n v="0.1"/>
    <n v="3239.81"/>
    <n v="433.2"/>
    <s v="Cash"/>
  </r>
  <r>
    <s v="ORD-01300"/>
    <x v="251"/>
    <s v="CUST-0238"/>
    <s v="Customer 0238"/>
    <s v="Corporate"/>
    <x v="0"/>
    <s v="Maharashtra"/>
    <s v="Pune"/>
    <x v="1"/>
    <s v="Phones"/>
    <x v="1"/>
    <n v="1"/>
    <n v="40293.64"/>
    <n v="0.1"/>
    <n v="36264.28"/>
    <n v="5604.39"/>
    <s v="Cash"/>
  </r>
  <r>
    <s v="ORD-00746"/>
    <x v="251"/>
    <s v="CUST-0281"/>
    <s v="Customer 0281"/>
    <s v="Consumer"/>
    <x v="3"/>
    <s v="Odisha"/>
    <s v="Bhubaneswar"/>
    <x v="0"/>
    <s v="Tables"/>
    <x v="12"/>
    <n v="1"/>
    <n v="6258.61"/>
    <n v="0.15"/>
    <n v="5319.82"/>
    <n v="775.36"/>
    <s v="Net Banking"/>
  </r>
  <r>
    <s v="ORD-01482"/>
    <x v="251"/>
    <s v="CUST-0138"/>
    <s v="Customer 0138"/>
    <s v="Consumer"/>
    <x v="3"/>
    <s v="West Bengal"/>
    <s v="Kolkata"/>
    <x v="1"/>
    <s v="Laptops"/>
    <x v="10"/>
    <n v="4"/>
    <n v="66256.86"/>
    <n v="0"/>
    <n v="265027.44"/>
    <n v="47445.53"/>
    <s v="Net Banking"/>
  </r>
  <r>
    <s v="ORD-01158"/>
    <x v="252"/>
    <s v="CUST-0244"/>
    <s v="Customer 0244"/>
    <s v="Consumer"/>
    <x v="2"/>
    <s v="Rajasthan"/>
    <s v="Jaipur"/>
    <x v="1"/>
    <s v="Laptops"/>
    <x v="5"/>
    <n v="5"/>
    <n v="47179.86"/>
    <n v="0.2"/>
    <n v="188719.44"/>
    <n v="15888.54"/>
    <s v="Cash"/>
  </r>
  <r>
    <s v="ORD-00275"/>
    <x v="252"/>
    <s v="CUST-0203"/>
    <s v="Customer 0203"/>
    <s v="Corporate"/>
    <x v="3"/>
    <s v="Bihar"/>
    <s v="Patna"/>
    <x v="2"/>
    <s v="Paper"/>
    <x v="6"/>
    <n v="1"/>
    <n v="434.17"/>
    <n v="0.2"/>
    <n v="347.34"/>
    <n v="88.46"/>
    <s v="Cash"/>
  </r>
  <r>
    <s v="ORD-00329"/>
    <x v="252"/>
    <s v="CUST-0291"/>
    <s v="Customer 0291"/>
    <s v="Consumer"/>
    <x v="3"/>
    <s v="Bihar"/>
    <s v="Patna"/>
    <x v="0"/>
    <s v="Storage"/>
    <x v="4"/>
    <n v="1"/>
    <n v="14798.93"/>
    <n v="0.15"/>
    <n v="12579.09"/>
    <n v="1880.06"/>
    <s v="Cash"/>
  </r>
  <r>
    <s v="ORD-01167"/>
    <x v="253"/>
    <s v="CUST-0142"/>
    <s v="Customer 0142"/>
    <s v="Corporate"/>
    <x v="1"/>
    <s v="Tamil Nadu"/>
    <s v="Chennai"/>
    <x v="1"/>
    <s v="Laptops"/>
    <x v="10"/>
    <n v="1"/>
    <n v="66683.06"/>
    <n v="0.15"/>
    <n v="56680.6"/>
    <n v="5135.01"/>
    <s v="Net Banking"/>
  </r>
  <r>
    <s v="ORD-00483"/>
    <x v="253"/>
    <s v="CUST-0294"/>
    <s v="Customer 0294"/>
    <s v="Consumer"/>
    <x v="1"/>
    <s v="Tamil Nadu"/>
    <s v="Chennai"/>
    <x v="2"/>
    <s v="Stationery"/>
    <x v="9"/>
    <n v="1"/>
    <n v="357.91"/>
    <n v="0"/>
    <n v="357.91"/>
    <n v="62.37"/>
    <s v="Net Banking"/>
  </r>
  <r>
    <s v="ORD-00713"/>
    <x v="253"/>
    <s v="CUST-0059"/>
    <s v="Customer 0059"/>
    <s v="Corporate"/>
    <x v="1"/>
    <s v="Telangana"/>
    <s v="Hyderabad"/>
    <x v="1"/>
    <s v="Phones"/>
    <x v="11"/>
    <n v="5"/>
    <n v="18174.810000000001"/>
    <n v="0"/>
    <n v="90874.05"/>
    <n v="12666.56"/>
    <s v="UPI"/>
  </r>
  <r>
    <s v="ORD-00692"/>
    <x v="253"/>
    <s v="CUST-0111"/>
    <s v="Customer 0111"/>
    <s v="Consumer"/>
    <x v="3"/>
    <s v="Odisha"/>
    <s v="Bhubaneswar"/>
    <x v="0"/>
    <s v="Tables"/>
    <x v="12"/>
    <n v="1"/>
    <n v="6769.44"/>
    <n v="0.05"/>
    <n v="6430.97"/>
    <n v="795"/>
    <s v="UPI"/>
  </r>
  <r>
    <s v="ORD-00274"/>
    <x v="253"/>
    <s v="CUST-0091"/>
    <s v="Customer 0091"/>
    <s v="Consumer"/>
    <x v="3"/>
    <s v="West Bengal"/>
    <s v="Kolkata"/>
    <x v="0"/>
    <s v="Chairs"/>
    <x v="7"/>
    <n v="2"/>
    <n v="8403.3700000000008"/>
    <n v="0.2"/>
    <n v="13445.39"/>
    <n v="2299.62"/>
    <s v="Card"/>
  </r>
  <r>
    <s v="ORD-00885"/>
    <x v="253"/>
    <s v="CUST-0118"/>
    <s v="Customer 0118"/>
    <s v="Consumer"/>
    <x v="2"/>
    <s v="Delhi"/>
    <s v="Delhi"/>
    <x v="0"/>
    <s v="Tables"/>
    <x v="12"/>
    <n v="3"/>
    <n v="6819.66"/>
    <n v="0.05"/>
    <n v="19436.03"/>
    <n v="2865.19"/>
    <s v="UPI"/>
  </r>
  <r>
    <s v="ORD-01473"/>
    <x v="253"/>
    <s v="CUST-0289"/>
    <s v="Customer 0289"/>
    <s v="Consumer"/>
    <x v="3"/>
    <s v="Bihar"/>
    <s v="Patna"/>
    <x v="2"/>
    <s v="Stationery"/>
    <x v="13"/>
    <n v="3"/>
    <n v="623.44000000000005"/>
    <n v="0.1"/>
    <n v="1683.29"/>
    <n v="434.83"/>
    <s v="UPI"/>
  </r>
  <r>
    <s v="ORD-00176"/>
    <x v="254"/>
    <s v="CUST-0169"/>
    <s v="Customer 0169"/>
    <s v="Small Business"/>
    <x v="0"/>
    <s v="Maharashtra"/>
    <s v="Pune"/>
    <x v="0"/>
    <s v="Tables"/>
    <x v="12"/>
    <n v="2"/>
    <n v="6384.44"/>
    <n v="0.15"/>
    <n v="10853.55"/>
    <n v="1164.04"/>
    <s v="Card"/>
  </r>
  <r>
    <s v="ORD-01137"/>
    <x v="254"/>
    <s v="CUST-0145"/>
    <s v="Customer 0145"/>
    <s v="Corporate"/>
    <x v="0"/>
    <s v="Maharashtra"/>
    <s v="Mumbai"/>
    <x v="1"/>
    <s v="Laptops"/>
    <x v="10"/>
    <n v="3"/>
    <n v="64672.31"/>
    <n v="0.1"/>
    <n v="174615.24"/>
    <n v="30482.43"/>
    <s v="Card"/>
  </r>
  <r>
    <s v="ORD-00603"/>
    <x v="254"/>
    <s v="CUST-0204"/>
    <s v="Customer 0204"/>
    <s v="Small Business"/>
    <x v="3"/>
    <s v="Bihar"/>
    <s v="Patna"/>
    <x v="1"/>
    <s v="Laptops"/>
    <x v="5"/>
    <n v="1"/>
    <n v="48663.48"/>
    <n v="0.05"/>
    <n v="46230.31"/>
    <n v="5196.12"/>
    <s v="UPI"/>
  </r>
  <r>
    <s v="ORD-00736"/>
    <x v="254"/>
    <s v="CUST-0183"/>
    <s v="Customer 0183"/>
    <s v="Consumer"/>
    <x v="1"/>
    <s v="Karnataka"/>
    <s v="Bengaluru"/>
    <x v="1"/>
    <s v="Laptops"/>
    <x v="5"/>
    <n v="1"/>
    <n v="48069.94"/>
    <n v="0.1"/>
    <n v="43262.95"/>
    <n v="3895.04"/>
    <s v="Net Banking"/>
  </r>
  <r>
    <s v="ORD-01281"/>
    <x v="255"/>
    <s v="CUST-0014"/>
    <s v="Customer 0014"/>
    <s v="Corporate"/>
    <x v="1"/>
    <s v="Tamil Nadu"/>
    <s v="Chennai"/>
    <x v="2"/>
    <s v="Storage"/>
    <x v="2"/>
    <n v="1"/>
    <n v="768.56"/>
    <n v="0.1"/>
    <n v="691.7"/>
    <n v="142.01"/>
    <s v="Net Banking"/>
  </r>
  <r>
    <s v="ORD-00602"/>
    <x v="255"/>
    <s v="CUST-0147"/>
    <s v="Customer 0147"/>
    <s v="Corporate"/>
    <x v="2"/>
    <s v="Uttar Pradesh"/>
    <s v="Lucknow"/>
    <x v="1"/>
    <s v="Phones"/>
    <x v="11"/>
    <n v="3"/>
    <n v="17487.830000000002"/>
    <n v="0.15"/>
    <n v="44593.97"/>
    <n v="2226.79"/>
    <s v="UPI"/>
  </r>
  <r>
    <s v="ORD-00068"/>
    <x v="255"/>
    <s v="CUST-0047"/>
    <s v="Customer 0047"/>
    <s v="Corporate"/>
    <x v="1"/>
    <s v="Karnataka"/>
    <s v="Bengaluru"/>
    <x v="2"/>
    <s v="Stationery"/>
    <x v="9"/>
    <n v="3"/>
    <n v="350.21"/>
    <n v="0"/>
    <n v="1050.6300000000001"/>
    <n v="353.43"/>
    <s v="UPI"/>
  </r>
  <r>
    <s v="ORD-00906"/>
    <x v="255"/>
    <s v="CUST-0249"/>
    <s v="Customer 0249"/>
    <s v="Corporate"/>
    <x v="0"/>
    <s v="Maharashtra"/>
    <s v="Pune"/>
    <x v="0"/>
    <s v="Chairs"/>
    <x v="7"/>
    <n v="2"/>
    <n v="8522.5400000000009"/>
    <n v="0"/>
    <n v="17045.080000000002"/>
    <n v="3124.67"/>
    <s v="Net Banking"/>
  </r>
  <r>
    <s v="ORD-00856"/>
    <x v="256"/>
    <s v="CUST-0289"/>
    <s v="Customer 0289"/>
    <s v="Small Business"/>
    <x v="0"/>
    <s v="Maharashtra"/>
    <s v="Pune"/>
    <x v="0"/>
    <s v="Tables"/>
    <x v="12"/>
    <n v="2"/>
    <n v="6179.73"/>
    <n v="0.05"/>
    <n v="11741.49"/>
    <n v="1401.76"/>
    <s v="Net Banking"/>
  </r>
  <r>
    <s v="ORD-00191"/>
    <x v="256"/>
    <s v="CUST-0069"/>
    <s v="Customer 0069"/>
    <s v="Small Business"/>
    <x v="3"/>
    <s v="Odisha"/>
    <s v="Bhubaneswar"/>
    <x v="1"/>
    <s v="Phones"/>
    <x v="1"/>
    <n v="1"/>
    <n v="41824.379999999997"/>
    <n v="0.15"/>
    <n v="35550.720000000001"/>
    <n v="4536.63"/>
    <s v="Card"/>
  </r>
  <r>
    <s v="ORD-01500"/>
    <x v="256"/>
    <s v="CUST-0044"/>
    <s v="Customer 0044"/>
    <s v="Consumer"/>
    <x v="1"/>
    <s v="Karnataka"/>
    <s v="Bengaluru"/>
    <x v="0"/>
    <s v="Chairs"/>
    <x v="7"/>
    <n v="1"/>
    <n v="8233.5400000000009"/>
    <n v="0.05"/>
    <n v="7821.86"/>
    <n v="2004.13"/>
    <s v="Cash"/>
  </r>
  <r>
    <s v="ORD-00631"/>
    <x v="256"/>
    <s v="CUST-0093"/>
    <s v="Customer 0093"/>
    <s v="Consumer"/>
    <x v="1"/>
    <s v="Telangana"/>
    <s v="Hyderabad"/>
    <x v="0"/>
    <s v="Storage"/>
    <x v="4"/>
    <n v="4"/>
    <n v="14656.4"/>
    <n v="0.1"/>
    <n v="52763.040000000001"/>
    <n v="8316.85"/>
    <s v="Net Banking"/>
  </r>
  <r>
    <s v="ORD-01079"/>
    <x v="257"/>
    <s v="CUST-0198"/>
    <s v="Customer 0198"/>
    <s v="Corporate"/>
    <x v="3"/>
    <s v="Bihar"/>
    <s v="Patna"/>
    <x v="1"/>
    <s v="Phones"/>
    <x v="11"/>
    <n v="3"/>
    <n v="17643.310000000001"/>
    <n v="0.15"/>
    <n v="44990.44"/>
    <n v="5104.37"/>
    <s v="Card"/>
  </r>
  <r>
    <s v="ORD-00499"/>
    <x v="257"/>
    <s v="CUST-0071"/>
    <s v="Customer 0071"/>
    <s v="Corporate"/>
    <x v="1"/>
    <s v="Karnataka"/>
    <s v="Bengaluru"/>
    <x v="1"/>
    <s v="Laptops"/>
    <x v="10"/>
    <n v="3"/>
    <n v="63081.22"/>
    <n v="0.15"/>
    <n v="160857.10999999999"/>
    <n v="23971.61"/>
    <s v="UPI"/>
  </r>
  <r>
    <s v="ORD-01413"/>
    <x v="258"/>
    <s v="CUST-0227"/>
    <s v="Customer 0227"/>
    <s v="Consumer"/>
    <x v="1"/>
    <s v="Tamil Nadu"/>
    <s v="Chennai"/>
    <x v="0"/>
    <s v="Tables"/>
    <x v="12"/>
    <n v="2"/>
    <n v="6525.01"/>
    <n v="0"/>
    <n v="13050.02"/>
    <n v="1870.62"/>
    <s v="Cash"/>
  </r>
  <r>
    <s v="ORD-01489"/>
    <x v="258"/>
    <s v="CUST-0067"/>
    <s v="Customer 0067"/>
    <s v="Consumer"/>
    <x v="1"/>
    <s v="Tamil Nadu"/>
    <s v="Chennai"/>
    <x v="2"/>
    <s v="Stationery"/>
    <x v="13"/>
    <n v="1"/>
    <n v="584.28"/>
    <n v="0.1"/>
    <n v="525.85"/>
    <n v="171.01"/>
    <s v="Cash"/>
  </r>
  <r>
    <s v="ORD-00484"/>
    <x v="258"/>
    <s v="CUST-0106"/>
    <s v="Customer 0106"/>
    <s v="Corporate"/>
    <x v="2"/>
    <s v="Rajasthan"/>
    <s v="Jaipur"/>
    <x v="2"/>
    <s v="Storage"/>
    <x v="2"/>
    <n v="4"/>
    <n v="721.81"/>
    <n v="0.1"/>
    <n v="2598.52"/>
    <n v="380.05"/>
    <s v="Net Banking"/>
  </r>
  <r>
    <s v="ORD-00998"/>
    <x v="259"/>
    <s v="CUST-0168"/>
    <s v="Customer 0168"/>
    <s v="Consumer"/>
    <x v="1"/>
    <s v="Karnataka"/>
    <s v="Bengaluru"/>
    <x v="0"/>
    <s v="Chairs"/>
    <x v="7"/>
    <n v="1"/>
    <n v="8629.85"/>
    <n v="0.1"/>
    <n v="7766.87"/>
    <n v="1780.05"/>
    <s v="Card"/>
  </r>
  <r>
    <s v="ORD-01156"/>
    <x v="259"/>
    <s v="CUST-0007"/>
    <s v="Customer 0007"/>
    <s v="Consumer"/>
    <x v="0"/>
    <s v="Maharashtra"/>
    <s v="Pune"/>
    <x v="1"/>
    <s v="Phones"/>
    <x v="1"/>
    <n v="1"/>
    <n v="43418.5"/>
    <n v="0.1"/>
    <n v="39076.65"/>
    <n v="6210.5"/>
    <s v="Net Banking"/>
  </r>
  <r>
    <s v="ORD-00148"/>
    <x v="259"/>
    <s v="CUST-0159"/>
    <s v="Customer 0159"/>
    <s v="Corporate"/>
    <x v="2"/>
    <s v="Rajasthan"/>
    <s v="Jaipur"/>
    <x v="0"/>
    <s v="Chairs"/>
    <x v="7"/>
    <n v="1"/>
    <n v="8293.08"/>
    <n v="0.1"/>
    <n v="7463.77"/>
    <n v="1880.72"/>
    <s v="Card"/>
  </r>
  <r>
    <s v="ORD-00243"/>
    <x v="260"/>
    <s v="CUST-0204"/>
    <s v="Customer 0204"/>
    <s v="Small Business"/>
    <x v="0"/>
    <s v="Maharashtra"/>
    <s v="Pune"/>
    <x v="1"/>
    <s v="Accessories"/>
    <x v="3"/>
    <n v="1"/>
    <n v="1254.8900000000001"/>
    <n v="0"/>
    <n v="1254.8900000000001"/>
    <n v="101.95"/>
    <s v="Card"/>
  </r>
  <r>
    <s v="ORD-00871"/>
    <x v="260"/>
    <s v="CUST-0020"/>
    <s v="Customer 0020"/>
    <s v="Consumer"/>
    <x v="1"/>
    <s v="Karnataka"/>
    <s v="Bengaluru"/>
    <x v="2"/>
    <s v="Storage"/>
    <x v="2"/>
    <n v="2"/>
    <n v="765.18"/>
    <n v="0.1"/>
    <n v="1377.32"/>
    <n v="333.59"/>
    <s v="UPI"/>
  </r>
  <r>
    <s v="ORD-00084"/>
    <x v="260"/>
    <s v="CUST-0175"/>
    <s v="Customer 0175"/>
    <s v="Consumer"/>
    <x v="0"/>
    <s v="Maharashtra"/>
    <s v="Mumbai"/>
    <x v="0"/>
    <s v="Storage"/>
    <x v="4"/>
    <n v="2"/>
    <n v="14495.67"/>
    <n v="0.05"/>
    <n v="27541.77"/>
    <n v="6504.53"/>
    <s v="UPI"/>
  </r>
  <r>
    <s v="ORD-00206"/>
    <x v="261"/>
    <s v="CUST-0025"/>
    <s v="Customer 0025"/>
    <s v="Consumer"/>
    <x v="2"/>
    <s v="Uttar Pradesh"/>
    <s v="Lucknow"/>
    <x v="1"/>
    <s v="Accessories"/>
    <x v="3"/>
    <n v="1"/>
    <n v="1165.17"/>
    <n v="0.15"/>
    <n v="990.39"/>
    <n v="80.78"/>
    <s v="Net Banking"/>
  </r>
  <r>
    <s v="ORD-01278"/>
    <x v="261"/>
    <s v="CUST-0215"/>
    <s v="Customer 0215"/>
    <s v="Consumer"/>
    <x v="0"/>
    <s v="Maharashtra"/>
    <s v="Mumbai"/>
    <x v="1"/>
    <s v="Accessories"/>
    <x v="8"/>
    <n v="1"/>
    <n v="1757.83"/>
    <n v="0"/>
    <n v="1757.83"/>
    <n v="163.96"/>
    <s v="Net Banking"/>
  </r>
  <r>
    <s v="ORD-00987"/>
    <x v="261"/>
    <s v="CUST-0283"/>
    <s v="Customer 0283"/>
    <s v="Consumer"/>
    <x v="1"/>
    <s v="Karnataka"/>
    <s v="Bengaluru"/>
    <x v="0"/>
    <s v="Tables"/>
    <x v="12"/>
    <n v="1"/>
    <n v="6393.67"/>
    <n v="0.1"/>
    <n v="5754.3"/>
    <n v="1228.2"/>
    <s v="Net Banking"/>
  </r>
  <r>
    <s v="ORD-01498"/>
    <x v="261"/>
    <s v="CUST-0278"/>
    <s v="Customer 0278"/>
    <s v="Consumer"/>
    <x v="0"/>
    <s v="Maharashtra"/>
    <s v="Pune"/>
    <x v="0"/>
    <s v="Tables"/>
    <x v="0"/>
    <n v="3"/>
    <n v="11986.72"/>
    <n v="0.1"/>
    <n v="32364.14"/>
    <n v="6707.11"/>
    <s v="UPI"/>
  </r>
  <r>
    <s v="ORD-00418"/>
    <x v="261"/>
    <s v="CUST-0185"/>
    <s v="Customer 0185"/>
    <s v="Consumer"/>
    <x v="0"/>
    <s v="Maharashtra"/>
    <s v="Mumbai"/>
    <x v="0"/>
    <s v="Chairs"/>
    <x v="7"/>
    <n v="1"/>
    <n v="8214.93"/>
    <n v="0.15"/>
    <n v="6982.69"/>
    <n v="1193.22"/>
    <s v="Card"/>
  </r>
  <r>
    <s v="ORD-00892"/>
    <x v="262"/>
    <s v="CUST-0115"/>
    <s v="Customer 0115"/>
    <s v="Corporate"/>
    <x v="3"/>
    <s v="West Bengal"/>
    <s v="Kolkata"/>
    <x v="0"/>
    <s v="Storage"/>
    <x v="4"/>
    <n v="1"/>
    <n v="14155.73"/>
    <n v="0.2"/>
    <n v="11324.58"/>
    <n v="1156.8699999999999"/>
    <s v="Cash"/>
  </r>
  <r>
    <s v="ORD-01111"/>
    <x v="262"/>
    <s v="CUST-0193"/>
    <s v="Customer 0193"/>
    <s v="Consumer"/>
    <x v="0"/>
    <s v="Maharashtra"/>
    <s v="Mumbai"/>
    <x v="1"/>
    <s v="Laptops"/>
    <x v="5"/>
    <n v="1"/>
    <n v="48367.28"/>
    <n v="0.05"/>
    <n v="45948.92"/>
    <n v="9531.51"/>
    <s v="Net Banking"/>
  </r>
  <r>
    <s v="ORD-00834"/>
    <x v="262"/>
    <s v="CUST-0108"/>
    <s v="Customer 0108"/>
    <s v="Consumer"/>
    <x v="2"/>
    <s v="Uttar Pradesh"/>
    <s v="Lucknow"/>
    <x v="2"/>
    <s v="Paper"/>
    <x v="6"/>
    <n v="1"/>
    <n v="449.05"/>
    <n v="0.05"/>
    <n v="426.6"/>
    <n v="136.28"/>
    <s v="UPI"/>
  </r>
  <r>
    <s v="ORD-00637"/>
    <x v="263"/>
    <s v="CUST-0176"/>
    <s v="Customer 0176"/>
    <s v="Consumer"/>
    <x v="1"/>
    <s v="Telangana"/>
    <s v="Hyderabad"/>
    <x v="0"/>
    <s v="Tables"/>
    <x v="0"/>
    <n v="3"/>
    <n v="12320.6"/>
    <n v="0.15"/>
    <n v="31417.53"/>
    <n v="7851.59"/>
    <s v="Net Banking"/>
  </r>
  <r>
    <s v="ORD-00404"/>
    <x v="264"/>
    <s v="CUST-0240"/>
    <s v="Customer 0240"/>
    <s v="Consumer"/>
    <x v="2"/>
    <s v="Rajasthan"/>
    <s v="Jaipur"/>
    <x v="2"/>
    <s v="Paper"/>
    <x v="6"/>
    <n v="1"/>
    <n v="462.22"/>
    <n v="0.05"/>
    <n v="439.11"/>
    <n v="116.35"/>
    <s v="Cash"/>
  </r>
  <r>
    <s v="ORD-01200"/>
    <x v="264"/>
    <s v="CUST-0066"/>
    <s v="Customer 0066"/>
    <s v="Consumer"/>
    <x v="2"/>
    <s v="Rajasthan"/>
    <s v="Jaipur"/>
    <x v="1"/>
    <s v="Accessories"/>
    <x v="3"/>
    <n v="2"/>
    <n v="1213.96"/>
    <n v="0"/>
    <n v="2427.92"/>
    <n v="246.97"/>
    <s v="UPI"/>
  </r>
  <r>
    <s v="ORD-00098"/>
    <x v="264"/>
    <s v="CUST-0264"/>
    <s v="Customer 0264"/>
    <s v="Corporate"/>
    <x v="2"/>
    <s v="Rajasthan"/>
    <s v="Jaipur"/>
    <x v="0"/>
    <s v="Tables"/>
    <x v="0"/>
    <n v="3"/>
    <n v="12164.68"/>
    <n v="0.1"/>
    <n v="32844.639999999999"/>
    <n v="8024.21"/>
    <s v="Cash"/>
  </r>
  <r>
    <s v="ORD-00111"/>
    <x v="265"/>
    <s v="CUST-0237"/>
    <s v="Customer 0237"/>
    <s v="Corporate"/>
    <x v="3"/>
    <s v="Odisha"/>
    <s v="Bhubaneswar"/>
    <x v="0"/>
    <s v="Tables"/>
    <x v="0"/>
    <n v="2"/>
    <n v="11694.34"/>
    <n v="0.15"/>
    <n v="19880.38"/>
    <n v="2468.34"/>
    <s v="Cash"/>
  </r>
  <r>
    <s v="ORD-00350"/>
    <x v="265"/>
    <s v="CUST-0273"/>
    <s v="Customer 0273"/>
    <s v="Consumer"/>
    <x v="0"/>
    <s v="Maharashtra"/>
    <s v="Mumbai"/>
    <x v="1"/>
    <s v="Laptops"/>
    <x v="10"/>
    <n v="1"/>
    <n v="67890.33"/>
    <n v="0.2"/>
    <n v="54312.26"/>
    <n v="5385.91"/>
    <s v="Cash"/>
  </r>
  <r>
    <s v="ORD-00568"/>
    <x v="265"/>
    <s v="CUST-0089"/>
    <s v="Customer 0089"/>
    <s v="Corporate"/>
    <x v="2"/>
    <s v="Uttar Pradesh"/>
    <s v="Lucknow"/>
    <x v="0"/>
    <s v="Tables"/>
    <x v="0"/>
    <n v="2"/>
    <n v="11664.56"/>
    <n v="0.15"/>
    <n v="19829.75"/>
    <n v="2302.1"/>
    <s v="Card"/>
  </r>
  <r>
    <s v="ORD-00769"/>
    <x v="265"/>
    <s v="CUST-0077"/>
    <s v="Customer 0077"/>
    <s v="Corporate"/>
    <x v="1"/>
    <s v="Karnataka"/>
    <s v="Bengaluru"/>
    <x v="2"/>
    <s v="Paper"/>
    <x v="6"/>
    <n v="1"/>
    <n v="458.47"/>
    <n v="0"/>
    <n v="458.47"/>
    <n v="88.92"/>
    <s v="Cash"/>
  </r>
  <r>
    <s v="ORD-00424"/>
    <x v="265"/>
    <s v="CUST-0249"/>
    <s v="Customer 0249"/>
    <s v="Consumer"/>
    <x v="1"/>
    <s v="Karnataka"/>
    <s v="Bengaluru"/>
    <x v="1"/>
    <s v="Phones"/>
    <x v="11"/>
    <n v="5"/>
    <n v="18411.580000000002"/>
    <n v="0.1"/>
    <n v="82852.11"/>
    <n v="8643.32"/>
    <s v="UPI"/>
  </r>
  <r>
    <s v="ORD-00477"/>
    <x v="265"/>
    <s v="CUST-0068"/>
    <s v="Customer 0068"/>
    <s v="Corporate"/>
    <x v="1"/>
    <s v="Telangana"/>
    <s v="Hyderabad"/>
    <x v="1"/>
    <s v="Phones"/>
    <x v="1"/>
    <n v="5"/>
    <n v="41895.42"/>
    <n v="0.05"/>
    <n v="199003.24"/>
    <n v="38636.6"/>
    <s v="Card"/>
  </r>
  <r>
    <s v="ORD-01452"/>
    <x v="266"/>
    <s v="CUST-0073"/>
    <s v="Customer 0073"/>
    <s v="Consumer"/>
    <x v="0"/>
    <s v="Maharashtra"/>
    <s v="Mumbai"/>
    <x v="1"/>
    <s v="Laptops"/>
    <x v="10"/>
    <n v="5"/>
    <n v="63215.77"/>
    <n v="0.2"/>
    <n v="252863.08"/>
    <n v="36568.730000000003"/>
    <s v="Cash"/>
  </r>
  <r>
    <s v="ORD-00099"/>
    <x v="266"/>
    <s v="CUST-0026"/>
    <s v="Customer 0026"/>
    <s v="Consumer"/>
    <x v="0"/>
    <s v="Maharashtra"/>
    <s v="Mumbai"/>
    <x v="2"/>
    <s v="Storage"/>
    <x v="2"/>
    <n v="3"/>
    <n v="726.04"/>
    <n v="0.15"/>
    <n v="1851.4"/>
    <n v="396.68"/>
    <s v="Cash"/>
  </r>
  <r>
    <s v="ORD-00922"/>
    <x v="267"/>
    <s v="CUST-0149"/>
    <s v="Customer 0149"/>
    <s v="Corporate"/>
    <x v="3"/>
    <s v="West Bengal"/>
    <s v="Kolkata"/>
    <x v="2"/>
    <s v="Stationery"/>
    <x v="9"/>
    <n v="3"/>
    <n v="347.87"/>
    <n v="0"/>
    <n v="1043.6099999999999"/>
    <n v="332.55"/>
    <s v="Card"/>
  </r>
  <r>
    <s v="ORD-01076"/>
    <x v="267"/>
    <s v="CUST-0202"/>
    <s v="Customer 0202"/>
    <s v="Consumer"/>
    <x v="0"/>
    <s v="Maharashtra"/>
    <s v="Pune"/>
    <x v="2"/>
    <s v="Stationery"/>
    <x v="9"/>
    <n v="2"/>
    <n v="339.81"/>
    <n v="0"/>
    <n v="679.62"/>
    <n v="167.98"/>
    <s v="UPI"/>
  </r>
  <r>
    <s v="ORD-00298"/>
    <x v="267"/>
    <s v="CUST-0145"/>
    <s v="Customer 0145"/>
    <s v="Consumer"/>
    <x v="0"/>
    <s v="Maharashtra"/>
    <s v="Pune"/>
    <x v="1"/>
    <s v="Accessories"/>
    <x v="8"/>
    <n v="3"/>
    <n v="1870.21"/>
    <n v="0.05"/>
    <n v="5330.1"/>
    <n v="408.88"/>
    <s v="Net Banking"/>
  </r>
  <r>
    <s v="ORD-00451"/>
    <x v="268"/>
    <s v="CUST-0209"/>
    <s v="Customer 0209"/>
    <s v="Consumer"/>
    <x v="1"/>
    <s v="Tamil Nadu"/>
    <s v="Chennai"/>
    <x v="0"/>
    <s v="Tables"/>
    <x v="0"/>
    <n v="4"/>
    <n v="11961.58"/>
    <n v="0.1"/>
    <n v="43061.69"/>
    <n v="6686.31"/>
    <s v="Card"/>
  </r>
  <r>
    <s v="ORD-00732"/>
    <x v="268"/>
    <s v="CUST-0183"/>
    <s v="Customer 0183"/>
    <s v="Corporate"/>
    <x v="2"/>
    <s v="Rajasthan"/>
    <s v="Jaipur"/>
    <x v="1"/>
    <s v="Accessories"/>
    <x v="3"/>
    <n v="1"/>
    <n v="1248.48"/>
    <n v="0.1"/>
    <n v="1123.6300000000001"/>
    <n v="110.19"/>
    <s v="Cash"/>
  </r>
  <r>
    <s v="ORD-00367"/>
    <x v="269"/>
    <s v="CUST-0182"/>
    <s v="Customer 0182"/>
    <s v="Small Business"/>
    <x v="1"/>
    <s v="Telangana"/>
    <s v="Hyderabad"/>
    <x v="2"/>
    <s v="Paper"/>
    <x v="6"/>
    <n v="3"/>
    <n v="467.81"/>
    <n v="0"/>
    <n v="1403.43"/>
    <n v="433.36"/>
    <s v="UPI"/>
  </r>
  <r>
    <s v="ORD-01460"/>
    <x v="269"/>
    <s v="CUST-0070"/>
    <s v="Customer 0070"/>
    <s v="Corporate"/>
    <x v="2"/>
    <s v="Rajasthan"/>
    <s v="Jaipur"/>
    <x v="1"/>
    <s v="Accessories"/>
    <x v="3"/>
    <n v="3"/>
    <n v="1229.1500000000001"/>
    <n v="0.05"/>
    <n v="3503.08"/>
    <n v="484.22"/>
    <s v="UPI"/>
  </r>
  <r>
    <s v="ORD-00025"/>
    <x v="269"/>
    <s v="CUST-0058"/>
    <s v="Customer 0058"/>
    <s v="Small Business"/>
    <x v="1"/>
    <s v="Tamil Nadu"/>
    <s v="Chennai"/>
    <x v="1"/>
    <s v="Accessories"/>
    <x v="8"/>
    <n v="1"/>
    <n v="1830.81"/>
    <n v="0"/>
    <n v="1830.81"/>
    <n v="238.39"/>
    <s v="Net Banking"/>
  </r>
  <r>
    <s v="ORD-00795"/>
    <x v="269"/>
    <s v="CUST-0291"/>
    <s v="Customer 0291"/>
    <s v="Corporate"/>
    <x v="2"/>
    <s v="Delhi"/>
    <s v="Delhi"/>
    <x v="1"/>
    <s v="Phones"/>
    <x v="1"/>
    <n v="4"/>
    <n v="39944.81"/>
    <n v="0.2"/>
    <n v="127823.39"/>
    <n v="16175"/>
    <s v="Net Banking"/>
  </r>
  <r>
    <s v="ORD-00062"/>
    <x v="269"/>
    <s v="CUST-0274"/>
    <s v="Customer 0274"/>
    <s v="Consumer"/>
    <x v="1"/>
    <s v="Telangana"/>
    <s v="Hyderabad"/>
    <x v="2"/>
    <s v="Stationery"/>
    <x v="9"/>
    <n v="2"/>
    <n v="341.92"/>
    <n v="0"/>
    <n v="683.84"/>
    <n v="154.18"/>
    <s v="Cash"/>
  </r>
  <r>
    <s v="ORD-00121"/>
    <x v="270"/>
    <s v="CUST-0214"/>
    <s v="Customer 0214"/>
    <s v="Corporate"/>
    <x v="1"/>
    <s v="Tamil Nadu"/>
    <s v="Chennai"/>
    <x v="0"/>
    <s v="Tables"/>
    <x v="12"/>
    <n v="1"/>
    <n v="6376.74"/>
    <n v="0.15"/>
    <n v="5420.23"/>
    <n v="961.55"/>
    <s v="Card"/>
  </r>
  <r>
    <s v="ORD-01451"/>
    <x v="270"/>
    <s v="CUST-0199"/>
    <s v="Customer 0199"/>
    <s v="Consumer"/>
    <x v="0"/>
    <s v="Gujarat"/>
    <s v="Ahmedabad"/>
    <x v="1"/>
    <s v="Phones"/>
    <x v="1"/>
    <n v="2"/>
    <n v="40536.76"/>
    <n v="0"/>
    <n v="81073.52"/>
    <n v="7531.02"/>
    <s v="Net Banking"/>
  </r>
  <r>
    <s v="ORD-00003"/>
    <x v="270"/>
    <s v="CUST-0175"/>
    <s v="Customer 0175"/>
    <s v="Corporate"/>
    <x v="2"/>
    <s v="Uttar Pradesh"/>
    <s v="Lucknow"/>
    <x v="0"/>
    <s v="Storage"/>
    <x v="4"/>
    <n v="2"/>
    <n v="14451.81"/>
    <n v="0.2"/>
    <n v="23122.9"/>
    <n v="4707.25"/>
    <s v="Net Banking"/>
  </r>
  <r>
    <s v="ORD-01131"/>
    <x v="271"/>
    <s v="CUST-0106"/>
    <s v="Customer 0106"/>
    <s v="Consumer"/>
    <x v="2"/>
    <s v="Uttar Pradesh"/>
    <s v="Lucknow"/>
    <x v="2"/>
    <s v="Stationery"/>
    <x v="13"/>
    <n v="1"/>
    <n v="594.44000000000005"/>
    <n v="0.05"/>
    <n v="564.72"/>
    <n v="154.44"/>
    <s v="Net Banking"/>
  </r>
  <r>
    <s v="ORD-01336"/>
    <x v="271"/>
    <s v="CUST-0121"/>
    <s v="Customer 0121"/>
    <s v="Consumer"/>
    <x v="2"/>
    <s v="Uttar Pradesh"/>
    <s v="Lucknow"/>
    <x v="2"/>
    <s v="Stationery"/>
    <x v="13"/>
    <n v="1"/>
    <n v="574.34"/>
    <n v="0.15"/>
    <n v="488.19"/>
    <n v="141.83000000000001"/>
    <s v="Cash"/>
  </r>
  <r>
    <s v="ORD-00831"/>
    <x v="271"/>
    <s v="CUST-0259"/>
    <s v="Customer 0259"/>
    <s v="Small Business"/>
    <x v="2"/>
    <s v="Uttar Pradesh"/>
    <s v="Lucknow"/>
    <x v="2"/>
    <s v="Stationery"/>
    <x v="9"/>
    <n v="1"/>
    <n v="342.2"/>
    <n v="0.1"/>
    <n v="307.98"/>
    <n v="94.05"/>
    <s v="Card"/>
  </r>
  <r>
    <s v="ORD-00800"/>
    <x v="271"/>
    <s v="CUST-0106"/>
    <s v="Customer 0106"/>
    <s v="Consumer"/>
    <x v="2"/>
    <s v="Delhi"/>
    <s v="Delhi"/>
    <x v="2"/>
    <s v="Storage"/>
    <x v="2"/>
    <n v="3"/>
    <n v="715.52"/>
    <n v="0"/>
    <n v="2146.56"/>
    <n v="408.33"/>
    <s v="Net Banking"/>
  </r>
  <r>
    <s v="ORD-00426"/>
    <x v="271"/>
    <s v="CUST-0238"/>
    <s v="Customer 0238"/>
    <s v="Small Business"/>
    <x v="3"/>
    <s v="West Bengal"/>
    <s v="Kolkata"/>
    <x v="2"/>
    <s v="Paper"/>
    <x v="6"/>
    <n v="3"/>
    <n v="455.88"/>
    <n v="0.05"/>
    <n v="1299.26"/>
    <n v="370.66"/>
    <s v="Card"/>
  </r>
  <r>
    <s v="ORD-01446"/>
    <x v="271"/>
    <s v="CUST-0087"/>
    <s v="Customer 0087"/>
    <s v="Consumer"/>
    <x v="3"/>
    <s v="Odisha"/>
    <s v="Bhubaneswar"/>
    <x v="2"/>
    <s v="Stationery"/>
    <x v="13"/>
    <n v="1"/>
    <n v="600.24"/>
    <n v="0.1"/>
    <n v="540.22"/>
    <n v="96.67"/>
    <s v="Net Banking"/>
  </r>
  <r>
    <s v="ORD-00067"/>
    <x v="271"/>
    <s v="CUST-0194"/>
    <s v="Customer 0194"/>
    <s v="Corporate"/>
    <x v="0"/>
    <s v="Maharashtra"/>
    <s v="Pune"/>
    <x v="0"/>
    <s v="Tables"/>
    <x v="12"/>
    <n v="2"/>
    <n v="6675.17"/>
    <n v="0.05"/>
    <n v="12682.82"/>
    <n v="1786.77"/>
    <s v="Net Banking"/>
  </r>
  <r>
    <s v="ORD-01080"/>
    <x v="272"/>
    <s v="CUST-0069"/>
    <s v="Customer 0069"/>
    <s v="Small Business"/>
    <x v="0"/>
    <s v="Maharashtra"/>
    <s v="Pune"/>
    <x v="0"/>
    <s v="Storage"/>
    <x v="4"/>
    <n v="3"/>
    <n v="13810.97"/>
    <n v="0"/>
    <n v="41432.910000000003"/>
    <n v="7516.09"/>
    <s v="Card"/>
  </r>
  <r>
    <s v="ORD-00330"/>
    <x v="272"/>
    <s v="CUST-0125"/>
    <s v="Customer 0125"/>
    <s v="Corporate"/>
    <x v="2"/>
    <s v="Uttar Pradesh"/>
    <s v="Lucknow"/>
    <x v="1"/>
    <s v="Accessories"/>
    <x v="3"/>
    <n v="2"/>
    <n v="1230.81"/>
    <n v="0.2"/>
    <n v="1969.3"/>
    <n v="170.45"/>
    <s v="Net Banking"/>
  </r>
  <r>
    <s v="ORD-00393"/>
    <x v="272"/>
    <s v="CUST-0089"/>
    <s v="Customer 0089"/>
    <s v="Small Business"/>
    <x v="2"/>
    <s v="Rajasthan"/>
    <s v="Jaipur"/>
    <x v="2"/>
    <s v="Paper"/>
    <x v="6"/>
    <n v="1"/>
    <n v="428.12"/>
    <n v="0.05"/>
    <n v="406.71"/>
    <n v="64.3"/>
    <s v="Cash"/>
  </r>
  <r>
    <s v="ORD-01458"/>
    <x v="273"/>
    <s v="CUST-0160"/>
    <s v="Customer 0160"/>
    <s v="Consumer"/>
    <x v="2"/>
    <s v="Delhi"/>
    <s v="Delhi"/>
    <x v="0"/>
    <s v="Tables"/>
    <x v="0"/>
    <n v="5"/>
    <n v="11434.79"/>
    <n v="0.15"/>
    <n v="48597.86"/>
    <n v="10894.62"/>
    <s v="Cash"/>
  </r>
  <r>
    <s v="ORD-00927"/>
    <x v="273"/>
    <s v="CUST-0027"/>
    <s v="Customer 0027"/>
    <s v="Small Business"/>
    <x v="1"/>
    <s v="Telangana"/>
    <s v="Hyderabad"/>
    <x v="2"/>
    <s v="Stationery"/>
    <x v="13"/>
    <n v="4"/>
    <n v="626.32000000000005"/>
    <n v="0.1"/>
    <n v="2254.75"/>
    <n v="630.66"/>
    <s v="Card"/>
  </r>
  <r>
    <s v="ORD-00895"/>
    <x v="273"/>
    <s v="CUST-0004"/>
    <s v="Customer 0004"/>
    <s v="Small Business"/>
    <x v="3"/>
    <s v="West Bengal"/>
    <s v="Kolkata"/>
    <x v="0"/>
    <s v="Storage"/>
    <x v="4"/>
    <n v="2"/>
    <n v="14517.43"/>
    <n v="0"/>
    <n v="29034.86"/>
    <n v="6033.87"/>
    <s v="Net Banking"/>
  </r>
  <r>
    <s v="ORD-01355"/>
    <x v="273"/>
    <s v="CUST-0136"/>
    <s v="Customer 0136"/>
    <s v="Consumer"/>
    <x v="2"/>
    <s v="Delhi"/>
    <s v="Delhi"/>
    <x v="0"/>
    <s v="Chairs"/>
    <x v="7"/>
    <n v="1"/>
    <n v="8244.65"/>
    <n v="0.1"/>
    <n v="7420.18"/>
    <n v="736.05"/>
    <s v="Card"/>
  </r>
  <r>
    <s v="ORD-01439"/>
    <x v="273"/>
    <s v="CUST-0157"/>
    <s v="Customer 0157"/>
    <s v="Consumer"/>
    <x v="2"/>
    <s v="Uttar Pradesh"/>
    <s v="Lucknow"/>
    <x v="1"/>
    <s v="Accessories"/>
    <x v="8"/>
    <n v="2"/>
    <n v="1722.9"/>
    <n v="0.05"/>
    <n v="3273.51"/>
    <n v="646.27"/>
    <s v="UPI"/>
  </r>
  <r>
    <s v="ORD-00306"/>
    <x v="273"/>
    <s v="CUST-0083"/>
    <s v="Customer 0083"/>
    <s v="Consumer"/>
    <x v="0"/>
    <s v="Gujarat"/>
    <s v="Ahmedabad"/>
    <x v="1"/>
    <s v="Phones"/>
    <x v="11"/>
    <n v="1"/>
    <n v="17549.919999999998"/>
    <n v="0.05"/>
    <n v="16672.419999999998"/>
    <n v="2340.91"/>
    <s v="UPI"/>
  </r>
  <r>
    <s v="ORD-01223"/>
    <x v="274"/>
    <s v="CUST-0250"/>
    <s v="Customer 0250"/>
    <s v="Consumer"/>
    <x v="0"/>
    <s v="Maharashtra"/>
    <s v="Mumbai"/>
    <x v="1"/>
    <s v="Accessories"/>
    <x v="3"/>
    <n v="1"/>
    <n v="1246.53"/>
    <n v="0.05"/>
    <n v="1184.2"/>
    <n v="125.14"/>
    <s v="Net Banking"/>
  </r>
  <r>
    <s v="ORD-00234"/>
    <x v="274"/>
    <s v="CUST-0134"/>
    <s v="Customer 0134"/>
    <s v="Corporate"/>
    <x v="1"/>
    <s v="Telangana"/>
    <s v="Hyderabad"/>
    <x v="0"/>
    <s v="Chairs"/>
    <x v="7"/>
    <n v="4"/>
    <n v="8320.14"/>
    <n v="0.2"/>
    <n v="26624.45"/>
    <n v="6238.31"/>
    <s v="Net Banking"/>
  </r>
  <r>
    <s v="ORD-01188"/>
    <x v="274"/>
    <s v="CUST-0067"/>
    <s v="Customer 0067"/>
    <s v="Consumer"/>
    <x v="1"/>
    <s v="Telangana"/>
    <s v="Hyderabad"/>
    <x v="1"/>
    <s v="Accessories"/>
    <x v="3"/>
    <n v="2"/>
    <n v="1247.28"/>
    <n v="0.15"/>
    <n v="2120.38"/>
    <n v="354.24"/>
    <s v="Net Banking"/>
  </r>
  <r>
    <s v="ORD-00567"/>
    <x v="274"/>
    <s v="CUST-0247"/>
    <s v="Customer 0247"/>
    <s v="Consumer"/>
    <x v="0"/>
    <s v="Maharashtra"/>
    <s v="Pune"/>
    <x v="1"/>
    <s v="Laptops"/>
    <x v="10"/>
    <n v="1"/>
    <n v="64760.800000000003"/>
    <n v="0.15"/>
    <n v="55046.68"/>
    <n v="5399.94"/>
    <s v="Cash"/>
  </r>
  <r>
    <s v="ORD-00453"/>
    <x v="274"/>
    <s v="CUST-0165"/>
    <s v="Customer 0165"/>
    <s v="Consumer"/>
    <x v="2"/>
    <s v="Uttar Pradesh"/>
    <s v="Lucknow"/>
    <x v="0"/>
    <s v="Tables"/>
    <x v="12"/>
    <n v="2"/>
    <n v="6175.15"/>
    <n v="0"/>
    <n v="12350.3"/>
    <n v="3290.12"/>
    <s v="Card"/>
  </r>
  <r>
    <s v="ORD-00656"/>
    <x v="274"/>
    <s v="CUST-0054"/>
    <s v="Customer 0054"/>
    <s v="Small Business"/>
    <x v="1"/>
    <s v="Karnataka"/>
    <s v="Bengaluru"/>
    <x v="1"/>
    <s v="Phones"/>
    <x v="11"/>
    <n v="2"/>
    <n v="18540.27"/>
    <n v="0.15"/>
    <n v="31518.46"/>
    <n v="5251.43"/>
    <s v="Card"/>
  </r>
  <r>
    <s v="ORD-00641"/>
    <x v="274"/>
    <s v="CUST-0065"/>
    <s v="Customer 0065"/>
    <s v="Corporate"/>
    <x v="2"/>
    <s v="Delhi"/>
    <s v="Delhi"/>
    <x v="2"/>
    <s v="Stationery"/>
    <x v="13"/>
    <n v="2"/>
    <n v="614.79"/>
    <n v="0.05"/>
    <n v="1168.0999999999999"/>
    <n v="367.07"/>
    <s v="Net Banking"/>
  </r>
  <r>
    <s v="ORD-01109"/>
    <x v="275"/>
    <s v="CUST-0143"/>
    <s v="Customer 0143"/>
    <s v="Consumer"/>
    <x v="1"/>
    <s v="Karnataka"/>
    <s v="Bengaluru"/>
    <x v="1"/>
    <s v="Laptops"/>
    <x v="10"/>
    <n v="2"/>
    <n v="67491.89"/>
    <n v="0.15"/>
    <n v="114736.21"/>
    <n v="8573.2199999999993"/>
    <s v="Cash"/>
  </r>
  <r>
    <s v="ORD-00891"/>
    <x v="275"/>
    <s v="CUST-0146"/>
    <s v="Customer 0146"/>
    <s v="Consumer"/>
    <x v="1"/>
    <s v="Karnataka"/>
    <s v="Bengaluru"/>
    <x v="0"/>
    <s v="Storage"/>
    <x v="4"/>
    <n v="1"/>
    <n v="14549.86"/>
    <n v="0.05"/>
    <n v="13822.37"/>
    <n v="3361.52"/>
    <s v="Cash"/>
  </r>
  <r>
    <s v="ORD-00910"/>
    <x v="275"/>
    <s v="CUST-0293"/>
    <s v="Customer 0293"/>
    <s v="Corporate"/>
    <x v="3"/>
    <s v="West Bengal"/>
    <s v="Kolkata"/>
    <x v="1"/>
    <s v="Accessories"/>
    <x v="8"/>
    <n v="1"/>
    <n v="1792.14"/>
    <n v="0"/>
    <n v="1792.14"/>
    <n v="240.17"/>
    <s v="Card"/>
  </r>
  <r>
    <s v="ORD-00580"/>
    <x v="276"/>
    <s v="CUST-0188"/>
    <s v="Customer 0188"/>
    <s v="Consumer"/>
    <x v="0"/>
    <s v="Maharashtra"/>
    <s v="Pune"/>
    <x v="2"/>
    <s v="Storage"/>
    <x v="2"/>
    <n v="3"/>
    <n v="760.44"/>
    <n v="0"/>
    <n v="2281.3200000000002"/>
    <n v="449.73"/>
    <s v="Card"/>
  </r>
  <r>
    <s v="ORD-00595"/>
    <x v="276"/>
    <s v="CUST-0158"/>
    <s v="Customer 0158"/>
    <s v="Small Business"/>
    <x v="2"/>
    <s v="Rajasthan"/>
    <s v="Jaipur"/>
    <x v="2"/>
    <s v="Stationery"/>
    <x v="9"/>
    <n v="3"/>
    <n v="337.25"/>
    <n v="0.05"/>
    <n v="961.16"/>
    <n v="158.97999999999999"/>
    <s v="Card"/>
  </r>
  <r>
    <s v="ORD-00695"/>
    <x v="276"/>
    <s v="CUST-0273"/>
    <s v="Customer 0273"/>
    <s v="Small Business"/>
    <x v="2"/>
    <s v="Uttar Pradesh"/>
    <s v="Lucknow"/>
    <x v="2"/>
    <s v="Stationery"/>
    <x v="13"/>
    <n v="4"/>
    <n v="584.67999999999995"/>
    <n v="0.2"/>
    <n v="1870.98"/>
    <n v="264.18"/>
    <s v="UPI"/>
  </r>
  <r>
    <s v="ORD-00572"/>
    <x v="277"/>
    <s v="CUST-0152"/>
    <s v="Customer 0152"/>
    <s v="Consumer"/>
    <x v="3"/>
    <s v="Bihar"/>
    <s v="Patna"/>
    <x v="1"/>
    <s v="Laptops"/>
    <x v="5"/>
    <n v="3"/>
    <n v="46303.72"/>
    <n v="0.15"/>
    <n v="118074.49"/>
    <n v="6815.87"/>
    <s v="Net Banking"/>
  </r>
  <r>
    <s v="ORD-00118"/>
    <x v="277"/>
    <s v="CUST-0084"/>
    <s v="Customer 0084"/>
    <s v="Consumer"/>
    <x v="3"/>
    <s v="West Bengal"/>
    <s v="Kolkata"/>
    <x v="1"/>
    <s v="Accessories"/>
    <x v="3"/>
    <n v="1"/>
    <n v="1189.1199999999999"/>
    <n v="0.2"/>
    <n v="951.3"/>
    <n v="144.41999999999999"/>
    <s v="Net Banking"/>
  </r>
  <r>
    <s v="ORD-00391"/>
    <x v="277"/>
    <s v="CUST-0283"/>
    <s v="Customer 0283"/>
    <s v="Corporate"/>
    <x v="3"/>
    <s v="Bihar"/>
    <s v="Patna"/>
    <x v="2"/>
    <s v="Paper"/>
    <x v="6"/>
    <n v="2"/>
    <n v="453.39"/>
    <n v="0.1"/>
    <n v="816.1"/>
    <n v="178.66"/>
    <s v="Net Banking"/>
  </r>
  <r>
    <s v="ORD-01112"/>
    <x v="277"/>
    <s v="CUST-0224"/>
    <s v="Customer 0224"/>
    <s v="Consumer"/>
    <x v="2"/>
    <s v="Delhi"/>
    <s v="Delhi"/>
    <x v="1"/>
    <s v="Laptops"/>
    <x v="5"/>
    <n v="1"/>
    <n v="48224.58"/>
    <n v="0.1"/>
    <n v="43402.12"/>
    <n v="7188.5"/>
    <s v="Net Banking"/>
  </r>
  <r>
    <s v="ORD-01029"/>
    <x v="277"/>
    <s v="CUST-0084"/>
    <s v="Customer 0084"/>
    <s v="Consumer"/>
    <x v="2"/>
    <s v="Delhi"/>
    <s v="Delhi"/>
    <x v="1"/>
    <s v="Laptops"/>
    <x v="10"/>
    <n v="3"/>
    <n v="66334.34"/>
    <n v="0.05"/>
    <n v="189052.87"/>
    <n v="26952.15"/>
    <s v="UPI"/>
  </r>
  <r>
    <s v="ORD-00813"/>
    <x v="277"/>
    <s v="CUST-0228"/>
    <s v="Customer 0228"/>
    <s v="Consumer"/>
    <x v="3"/>
    <s v="Odisha"/>
    <s v="Bhubaneswar"/>
    <x v="2"/>
    <s v="Storage"/>
    <x v="2"/>
    <n v="3"/>
    <n v="732.75"/>
    <n v="0.05"/>
    <n v="2088.34"/>
    <n v="372.13"/>
    <s v="Card"/>
  </r>
  <r>
    <s v="ORD-00162"/>
    <x v="277"/>
    <s v="CUST-0163"/>
    <s v="Customer 0163"/>
    <s v="Consumer"/>
    <x v="3"/>
    <s v="Bihar"/>
    <s v="Patna"/>
    <x v="1"/>
    <s v="Accessories"/>
    <x v="3"/>
    <n v="3"/>
    <n v="1257.07"/>
    <n v="0.05"/>
    <n v="3582.65"/>
    <n v="553.36"/>
    <s v="UPI"/>
  </r>
  <r>
    <s v="ORD-00181"/>
    <x v="277"/>
    <s v="CUST-0189"/>
    <s v="Customer 0189"/>
    <s v="Corporate"/>
    <x v="0"/>
    <s v="Gujarat"/>
    <s v="Ahmedabad"/>
    <x v="1"/>
    <s v="Accessories"/>
    <x v="3"/>
    <n v="2"/>
    <n v="1158.19"/>
    <n v="0"/>
    <n v="2316.38"/>
    <n v="215.72"/>
    <s v="Net Banking"/>
  </r>
  <r>
    <s v="ORD-01126"/>
    <x v="277"/>
    <s v="CUST-0259"/>
    <s v="Customer 0259"/>
    <s v="Consumer"/>
    <x v="2"/>
    <s v="Uttar Pradesh"/>
    <s v="Lucknow"/>
    <x v="2"/>
    <s v="Stationery"/>
    <x v="13"/>
    <n v="1"/>
    <n v="584.21"/>
    <n v="0"/>
    <n v="584.21"/>
    <n v="146.35"/>
    <s v="Card"/>
  </r>
  <r>
    <s v="ORD-01042"/>
    <x v="277"/>
    <s v="CUST-0247"/>
    <s v="Customer 0247"/>
    <s v="Consumer"/>
    <x v="2"/>
    <s v="Rajasthan"/>
    <s v="Jaipur"/>
    <x v="0"/>
    <s v="Chairs"/>
    <x v="7"/>
    <n v="1"/>
    <n v="8734.93"/>
    <n v="0.05"/>
    <n v="8298.18"/>
    <n v="1678.67"/>
    <s v="Cash"/>
  </r>
  <r>
    <s v="ORD-00265"/>
    <x v="278"/>
    <s v="CUST-0049"/>
    <s v="Customer 0049"/>
    <s v="Small Business"/>
    <x v="0"/>
    <s v="Gujarat"/>
    <s v="Ahmedabad"/>
    <x v="2"/>
    <s v="Stationery"/>
    <x v="9"/>
    <n v="1"/>
    <n v="351.36"/>
    <n v="0.1"/>
    <n v="316.22000000000003"/>
    <n v="42.65"/>
    <s v="UPI"/>
  </r>
  <r>
    <s v="ORD-00787"/>
    <x v="278"/>
    <s v="CUST-0103"/>
    <s v="Customer 0103"/>
    <s v="Consumer"/>
    <x v="1"/>
    <s v="Telangana"/>
    <s v="Hyderabad"/>
    <x v="0"/>
    <s v="Storage"/>
    <x v="4"/>
    <n v="3"/>
    <n v="15205.71"/>
    <n v="0"/>
    <n v="45617.13"/>
    <n v="9994.52"/>
    <s v="Net Banking"/>
  </r>
  <r>
    <s v="ORD-01259"/>
    <x v="278"/>
    <s v="CUST-0026"/>
    <s v="Customer 0026"/>
    <s v="Consumer"/>
    <x v="1"/>
    <s v="Telangana"/>
    <s v="Hyderabad"/>
    <x v="1"/>
    <s v="Phones"/>
    <x v="1"/>
    <n v="3"/>
    <n v="40933.599999999999"/>
    <n v="0.05"/>
    <n v="116660.76"/>
    <n v="17570.810000000001"/>
    <s v="Cash"/>
  </r>
  <r>
    <s v="ORD-00959"/>
    <x v="278"/>
    <s v="CUST-0053"/>
    <s v="Customer 0053"/>
    <s v="Consumer"/>
    <x v="2"/>
    <s v="Delhi"/>
    <s v="Delhi"/>
    <x v="0"/>
    <s v="Tables"/>
    <x v="0"/>
    <n v="4"/>
    <n v="12082.98"/>
    <n v="0.05"/>
    <n v="45915.32"/>
    <n v="11794.21"/>
    <s v="Net Banking"/>
  </r>
  <r>
    <s v="ORD-00972"/>
    <x v="279"/>
    <s v="CUST-0081"/>
    <s v="Customer 0081"/>
    <s v="Consumer"/>
    <x v="0"/>
    <s v="Maharashtra"/>
    <s v="Pune"/>
    <x v="0"/>
    <s v="Storage"/>
    <x v="4"/>
    <n v="3"/>
    <n v="14095.85"/>
    <n v="0"/>
    <n v="42287.55"/>
    <n v="6166.65"/>
    <s v="Card"/>
  </r>
  <r>
    <s v="ORD-01093"/>
    <x v="279"/>
    <s v="CUST-0155"/>
    <s v="Customer 0155"/>
    <s v="Small Business"/>
    <x v="1"/>
    <s v="Telangana"/>
    <s v="Hyderabad"/>
    <x v="1"/>
    <s v="Laptops"/>
    <x v="5"/>
    <n v="4"/>
    <n v="49051.28"/>
    <n v="0.1"/>
    <n v="176584.61"/>
    <n v="29979.200000000001"/>
    <s v="Cash"/>
  </r>
  <r>
    <s v="ORD-00269"/>
    <x v="280"/>
    <s v="CUST-0089"/>
    <s v="Customer 0089"/>
    <s v="Small Business"/>
    <x v="0"/>
    <s v="Gujarat"/>
    <s v="Ahmedabad"/>
    <x v="1"/>
    <s v="Accessories"/>
    <x v="3"/>
    <n v="1"/>
    <n v="1141.56"/>
    <n v="0"/>
    <n v="1141.56"/>
    <n v="93.59"/>
    <s v="Cash"/>
  </r>
  <r>
    <s v="ORD-00399"/>
    <x v="280"/>
    <s v="CUST-0083"/>
    <s v="Customer 0083"/>
    <s v="Consumer"/>
    <x v="0"/>
    <s v="Maharashtra"/>
    <s v="Mumbai"/>
    <x v="2"/>
    <s v="Stationery"/>
    <x v="9"/>
    <n v="1"/>
    <n v="363.8"/>
    <n v="0.15"/>
    <n v="309.23"/>
    <n v="82.26"/>
    <s v="Card"/>
  </r>
  <r>
    <s v="ORD-01230"/>
    <x v="280"/>
    <s v="CUST-0111"/>
    <s v="Customer 0111"/>
    <s v="Small Business"/>
    <x v="2"/>
    <s v="Delhi"/>
    <s v="Delhi"/>
    <x v="0"/>
    <s v="Tables"/>
    <x v="12"/>
    <n v="3"/>
    <n v="6690.65"/>
    <n v="0.1"/>
    <n v="18064.75"/>
    <n v="3623.99"/>
    <s v="Net Banking"/>
  </r>
  <r>
    <s v="ORD-00022"/>
    <x v="281"/>
    <s v="CUST-0022"/>
    <s v="Customer 0022"/>
    <s v="Consumer"/>
    <x v="1"/>
    <s v="Tamil Nadu"/>
    <s v="Chennai"/>
    <x v="0"/>
    <s v="Chairs"/>
    <x v="7"/>
    <n v="5"/>
    <n v="8833.24"/>
    <n v="0.05"/>
    <n v="41957.89"/>
    <n v="8645.2999999999993"/>
    <s v="UPI"/>
  </r>
  <r>
    <s v="ORD-00549"/>
    <x v="281"/>
    <s v="CUST-0132"/>
    <s v="Customer 0132"/>
    <s v="Consumer"/>
    <x v="3"/>
    <s v="Odisha"/>
    <s v="Bhubaneswar"/>
    <x v="0"/>
    <s v="Tables"/>
    <x v="12"/>
    <n v="3"/>
    <n v="6513.58"/>
    <n v="0"/>
    <n v="19540.740000000002"/>
    <n v="3811.41"/>
    <s v="Card"/>
  </r>
  <r>
    <s v="ORD-00806"/>
    <x v="281"/>
    <s v="CUST-0213"/>
    <s v="Customer 0213"/>
    <s v="Corporate"/>
    <x v="3"/>
    <s v="Odisha"/>
    <s v="Bhubaneswar"/>
    <x v="1"/>
    <s v="Accessories"/>
    <x v="3"/>
    <n v="3"/>
    <n v="1243.56"/>
    <n v="0.2"/>
    <n v="2984.54"/>
    <n v="357.23"/>
    <s v="UPI"/>
  </r>
  <r>
    <s v="ORD-01310"/>
    <x v="281"/>
    <s v="CUST-0078"/>
    <s v="Customer 0078"/>
    <s v="Consumer"/>
    <x v="0"/>
    <s v="Maharashtra"/>
    <s v="Mumbai"/>
    <x v="0"/>
    <s v="Storage"/>
    <x v="4"/>
    <n v="1"/>
    <n v="14021.08"/>
    <n v="0.2"/>
    <n v="11216.86"/>
    <n v="497.5"/>
    <s v="Cash"/>
  </r>
  <r>
    <s v="ORD-00721"/>
    <x v="281"/>
    <s v="CUST-0248"/>
    <s v="Customer 0248"/>
    <s v="Small Business"/>
    <x v="2"/>
    <s v="Rajasthan"/>
    <s v="Jaipur"/>
    <x v="1"/>
    <s v="Laptops"/>
    <x v="10"/>
    <n v="2"/>
    <n v="62460.81"/>
    <n v="0.15"/>
    <n v="106183.38"/>
    <n v="11466.64"/>
    <s v="Net Banking"/>
  </r>
  <r>
    <s v="ORD-00638"/>
    <x v="282"/>
    <s v="CUST-0139"/>
    <s v="Customer 0139"/>
    <s v="Small Business"/>
    <x v="0"/>
    <s v="Gujarat"/>
    <s v="Ahmedabad"/>
    <x v="0"/>
    <s v="Chairs"/>
    <x v="7"/>
    <n v="2"/>
    <n v="8880.68"/>
    <n v="0.15"/>
    <n v="15097.16"/>
    <n v="1494.21"/>
    <s v="Cash"/>
  </r>
  <r>
    <s v="ORD-00164"/>
    <x v="282"/>
    <s v="CUST-0020"/>
    <s v="Customer 0020"/>
    <s v="Consumer"/>
    <x v="3"/>
    <s v="West Bengal"/>
    <s v="Kolkata"/>
    <x v="0"/>
    <s v="Storage"/>
    <x v="4"/>
    <n v="1"/>
    <n v="14088.26"/>
    <n v="0.1"/>
    <n v="12679.43"/>
    <n v="2445.6"/>
    <s v="Cash"/>
  </r>
  <r>
    <s v="ORD-00699"/>
    <x v="282"/>
    <s v="CUST-0240"/>
    <s v="Customer 0240"/>
    <s v="Small Business"/>
    <x v="2"/>
    <s v="Uttar Pradesh"/>
    <s v="Lucknow"/>
    <x v="2"/>
    <s v="Paper"/>
    <x v="6"/>
    <n v="3"/>
    <n v="464.27"/>
    <n v="0.05"/>
    <n v="1323.17"/>
    <n v="294.64"/>
    <s v="Card"/>
  </r>
  <r>
    <s v="ORD-00439"/>
    <x v="282"/>
    <s v="CUST-0296"/>
    <s v="Customer 0296"/>
    <s v="Small Business"/>
    <x v="1"/>
    <s v="Telangana"/>
    <s v="Hyderabad"/>
    <x v="0"/>
    <s v="Chairs"/>
    <x v="7"/>
    <n v="1"/>
    <n v="8392.86"/>
    <n v="0.05"/>
    <n v="7973.22"/>
    <n v="2032.49"/>
    <s v="Card"/>
  </r>
  <r>
    <s v="ORD-00133"/>
    <x v="282"/>
    <s v="CUST-0066"/>
    <s v="Customer 0066"/>
    <s v="Small Business"/>
    <x v="1"/>
    <s v="Karnataka"/>
    <s v="Bengaluru"/>
    <x v="2"/>
    <s v="Stationery"/>
    <x v="9"/>
    <n v="1"/>
    <n v="353.45"/>
    <n v="0.1"/>
    <n v="318.11"/>
    <n v="67.89"/>
    <s v="Cash"/>
  </r>
  <r>
    <s v="ORD-01097"/>
    <x v="282"/>
    <s v="CUST-0274"/>
    <s v="Customer 0274"/>
    <s v="Consumer"/>
    <x v="1"/>
    <s v="Telangana"/>
    <s v="Hyderabad"/>
    <x v="1"/>
    <s v="Laptops"/>
    <x v="10"/>
    <n v="3"/>
    <n v="63786.6"/>
    <n v="0.05"/>
    <n v="181791.81"/>
    <n v="27866.25"/>
    <s v="Cash"/>
  </r>
  <r>
    <s v="ORD-00463"/>
    <x v="283"/>
    <s v="CUST-0016"/>
    <s v="Customer 0016"/>
    <s v="Consumer"/>
    <x v="3"/>
    <s v="Odisha"/>
    <s v="Bhubaneswar"/>
    <x v="0"/>
    <s v="Storage"/>
    <x v="4"/>
    <n v="3"/>
    <n v="14224.95"/>
    <n v="0"/>
    <n v="42674.85"/>
    <n v="8557.81"/>
    <s v="UPI"/>
  </r>
  <r>
    <s v="ORD-00793"/>
    <x v="283"/>
    <s v="CUST-0251"/>
    <s v="Customer 0251"/>
    <s v="Consumer"/>
    <x v="1"/>
    <s v="Telangana"/>
    <s v="Hyderabad"/>
    <x v="1"/>
    <s v="Accessories"/>
    <x v="8"/>
    <n v="1"/>
    <n v="1853.45"/>
    <n v="0.05"/>
    <n v="1760.78"/>
    <n v="275.47000000000003"/>
    <s v="UPI"/>
  </r>
  <r>
    <s v="ORD-00263"/>
    <x v="283"/>
    <s v="CUST-0218"/>
    <s v="Customer 0218"/>
    <s v="Corporate"/>
    <x v="0"/>
    <s v="Maharashtra"/>
    <s v="Mumbai"/>
    <x v="2"/>
    <s v="Stationery"/>
    <x v="9"/>
    <n v="5"/>
    <n v="351.08"/>
    <n v="0"/>
    <n v="1755.4"/>
    <n v="491.85"/>
    <s v="Net Banking"/>
  </r>
  <r>
    <s v="ORD-00397"/>
    <x v="283"/>
    <s v="CUST-0231"/>
    <s v="Customer 0231"/>
    <s v="Consumer"/>
    <x v="0"/>
    <s v="Gujarat"/>
    <s v="Ahmedabad"/>
    <x v="0"/>
    <s v="Storage"/>
    <x v="4"/>
    <n v="3"/>
    <n v="14739.33"/>
    <n v="0.05"/>
    <n v="42007.09"/>
    <n v="8391.69"/>
    <s v="Cash"/>
  </r>
  <r>
    <s v="ORD-01348"/>
    <x v="284"/>
    <s v="CUST-0061"/>
    <s v="Customer 0061"/>
    <s v="Consumer"/>
    <x v="0"/>
    <s v="Maharashtra"/>
    <s v="Pune"/>
    <x v="1"/>
    <s v="Accessories"/>
    <x v="8"/>
    <n v="1"/>
    <n v="1861.69"/>
    <n v="0"/>
    <n v="1861.69"/>
    <n v="216.31"/>
    <s v="Cash"/>
  </r>
  <r>
    <s v="ORD-00577"/>
    <x v="285"/>
    <s v="CUST-0169"/>
    <s v="Customer 0169"/>
    <s v="Consumer"/>
    <x v="0"/>
    <s v="Maharashtra"/>
    <s v="Pune"/>
    <x v="1"/>
    <s v="Accessories"/>
    <x v="8"/>
    <n v="3"/>
    <n v="1867.03"/>
    <n v="0"/>
    <n v="5601.09"/>
    <n v="928.86"/>
    <s v="Net Banking"/>
  </r>
  <r>
    <s v="ORD-00687"/>
    <x v="285"/>
    <s v="CUST-0288"/>
    <s v="Customer 0288"/>
    <s v="Consumer"/>
    <x v="0"/>
    <s v="Gujarat"/>
    <s v="Ahmedabad"/>
    <x v="0"/>
    <s v="Chairs"/>
    <x v="7"/>
    <n v="4"/>
    <n v="8911.5"/>
    <n v="0"/>
    <n v="35646"/>
    <n v="8476.64"/>
    <s v="UPI"/>
  </r>
  <r>
    <s v="ORD-01467"/>
    <x v="285"/>
    <s v="CUST-0090"/>
    <s v="Customer 0090"/>
    <s v="Consumer"/>
    <x v="1"/>
    <s v="Karnataka"/>
    <s v="Bengaluru"/>
    <x v="0"/>
    <s v="Chairs"/>
    <x v="7"/>
    <n v="1"/>
    <n v="8371.5300000000007"/>
    <n v="0"/>
    <n v="8371.5300000000007"/>
    <n v="2116.21"/>
    <s v="Cash"/>
  </r>
  <r>
    <s v="ORD-00842"/>
    <x v="285"/>
    <s v="CUST-0276"/>
    <s v="Customer 0276"/>
    <s v="Consumer"/>
    <x v="2"/>
    <s v="Rajasthan"/>
    <s v="Jaipur"/>
    <x v="0"/>
    <s v="Tables"/>
    <x v="0"/>
    <n v="5"/>
    <n v="11495.98"/>
    <n v="0.05"/>
    <n v="54605.9"/>
    <n v="6661.25"/>
    <s v="Cash"/>
  </r>
  <r>
    <s v="ORD-00376"/>
    <x v="285"/>
    <s v="CUST-0106"/>
    <s v="Customer 0106"/>
    <s v="Consumer"/>
    <x v="0"/>
    <s v="Gujarat"/>
    <s v="Ahmedabad"/>
    <x v="1"/>
    <s v="Phones"/>
    <x v="1"/>
    <n v="5"/>
    <n v="41559.65"/>
    <n v="0.2"/>
    <n v="166238.6"/>
    <n v="24051.67"/>
    <s v="Card"/>
  </r>
  <r>
    <s v="ORD-01449"/>
    <x v="285"/>
    <s v="CUST-0161"/>
    <s v="Customer 0161"/>
    <s v="Small Business"/>
    <x v="3"/>
    <s v="Odisha"/>
    <s v="Bhubaneswar"/>
    <x v="0"/>
    <s v="Tables"/>
    <x v="0"/>
    <n v="5"/>
    <n v="12232.22"/>
    <n v="0.05"/>
    <n v="58103.040000000001"/>
    <n v="6627.71"/>
    <s v="UPI"/>
  </r>
  <r>
    <s v="ORD-00981"/>
    <x v="285"/>
    <s v="CUST-0294"/>
    <s v="Customer 0294"/>
    <s v="Corporate"/>
    <x v="0"/>
    <s v="Gujarat"/>
    <s v="Ahmedabad"/>
    <x v="0"/>
    <s v="Tables"/>
    <x v="0"/>
    <n v="3"/>
    <n v="11865.48"/>
    <n v="0.05"/>
    <n v="33816.620000000003"/>
    <n v="5652.55"/>
    <s v="Cash"/>
  </r>
  <r>
    <s v="ORD-01497"/>
    <x v="286"/>
    <s v="CUST-0124"/>
    <s v="Customer 0124"/>
    <s v="Consumer"/>
    <x v="2"/>
    <s v="Rajasthan"/>
    <s v="Jaipur"/>
    <x v="1"/>
    <s v="Phones"/>
    <x v="1"/>
    <n v="1"/>
    <n v="43727.23"/>
    <n v="0.1"/>
    <n v="39354.51"/>
    <n v="3009.3"/>
    <s v="UPI"/>
  </r>
  <r>
    <s v="ORD-00151"/>
    <x v="287"/>
    <s v="CUST-0242"/>
    <s v="Customer 0242"/>
    <s v="Consumer"/>
    <x v="3"/>
    <s v="Bihar"/>
    <s v="Patna"/>
    <x v="1"/>
    <s v="Phones"/>
    <x v="11"/>
    <n v="1"/>
    <n v="17951.21"/>
    <n v="0.15"/>
    <n v="15258.53"/>
    <n v="2033.33"/>
    <s v="Cash"/>
  </r>
  <r>
    <s v="ORD-01038"/>
    <x v="287"/>
    <s v="CUST-0081"/>
    <s v="Customer 0081"/>
    <s v="Corporate"/>
    <x v="2"/>
    <s v="Uttar Pradesh"/>
    <s v="Lucknow"/>
    <x v="2"/>
    <s v="Stationery"/>
    <x v="9"/>
    <n v="1"/>
    <n v="353.41"/>
    <n v="0.05"/>
    <n v="335.74"/>
    <n v="77.48"/>
    <s v="Cash"/>
  </r>
  <r>
    <s v="ORD-00789"/>
    <x v="287"/>
    <s v="CUST-0268"/>
    <s v="Customer 0268"/>
    <s v="Consumer"/>
    <x v="2"/>
    <s v="Rajasthan"/>
    <s v="Jaipur"/>
    <x v="0"/>
    <s v="Tables"/>
    <x v="0"/>
    <n v="1"/>
    <n v="12024.19"/>
    <n v="0.2"/>
    <n v="9619.35"/>
    <n v="1103.3499999999999"/>
    <s v="Card"/>
  </r>
  <r>
    <s v="ORD-00570"/>
    <x v="287"/>
    <s v="CUST-0139"/>
    <s v="Customer 0139"/>
    <s v="Consumer"/>
    <x v="1"/>
    <s v="Karnataka"/>
    <s v="Bengaluru"/>
    <x v="1"/>
    <s v="Phones"/>
    <x v="1"/>
    <n v="2"/>
    <n v="39920.449999999997"/>
    <n v="0.2"/>
    <n v="63872.72"/>
    <n v="7201.78"/>
    <s v="UPI"/>
  </r>
  <r>
    <s v="ORD-00383"/>
    <x v="287"/>
    <s v="CUST-0175"/>
    <s v="Customer 0175"/>
    <s v="Small Business"/>
    <x v="2"/>
    <s v="Rajasthan"/>
    <s v="Jaipur"/>
    <x v="2"/>
    <s v="Storage"/>
    <x v="2"/>
    <n v="1"/>
    <n v="768.94"/>
    <n v="0"/>
    <n v="768.94"/>
    <n v="123.23"/>
    <s v="UPI"/>
  </r>
  <r>
    <s v="ORD-00627"/>
    <x v="287"/>
    <s v="CUST-0015"/>
    <s v="Customer 0015"/>
    <s v="Consumer"/>
    <x v="3"/>
    <s v="Odisha"/>
    <s v="Bhubaneswar"/>
    <x v="0"/>
    <s v="Chairs"/>
    <x v="7"/>
    <n v="3"/>
    <n v="8475.94"/>
    <n v="0.1"/>
    <n v="22885.040000000001"/>
    <n v="5644.86"/>
    <s v="UPI"/>
  </r>
  <r>
    <s v="ORD-01020"/>
    <x v="287"/>
    <s v="CUST-0048"/>
    <s v="Customer 0048"/>
    <s v="Consumer"/>
    <x v="3"/>
    <s v="Odisha"/>
    <s v="Bhubaneswar"/>
    <x v="2"/>
    <s v="Stationery"/>
    <x v="9"/>
    <n v="1"/>
    <n v="363.8"/>
    <n v="0.05"/>
    <n v="345.61"/>
    <n v="47.87"/>
    <s v="Card"/>
  </r>
  <r>
    <s v="ORD-00210"/>
    <x v="288"/>
    <s v="CUST-0148"/>
    <s v="Customer 0148"/>
    <s v="Consumer"/>
    <x v="0"/>
    <s v="Maharashtra"/>
    <s v="Pune"/>
    <x v="0"/>
    <s v="Tables"/>
    <x v="12"/>
    <n v="4"/>
    <n v="6592.87"/>
    <n v="0.05"/>
    <n v="25052.91"/>
    <n v="5503.02"/>
    <s v="Cash"/>
  </r>
  <r>
    <s v="ORD-00231"/>
    <x v="288"/>
    <s v="CUST-0202"/>
    <s v="Customer 0202"/>
    <s v="Corporate"/>
    <x v="1"/>
    <s v="Telangana"/>
    <s v="Hyderabad"/>
    <x v="2"/>
    <s v="Storage"/>
    <x v="2"/>
    <n v="2"/>
    <n v="717.88"/>
    <n v="0.05"/>
    <n v="1363.97"/>
    <n v="304.20999999999998"/>
    <s v="Net Banking"/>
  </r>
  <r>
    <s v="ORD-00465"/>
    <x v="288"/>
    <s v="CUST-0109"/>
    <s v="Customer 0109"/>
    <s v="Small Business"/>
    <x v="1"/>
    <s v="Telangana"/>
    <s v="Hyderabad"/>
    <x v="1"/>
    <s v="Phones"/>
    <x v="11"/>
    <n v="1"/>
    <n v="18006.64"/>
    <n v="0.1"/>
    <n v="16205.98"/>
    <n v="2809.75"/>
    <s v="Cash"/>
  </r>
  <r>
    <s v="ORD-01343"/>
    <x v="288"/>
    <s v="CUST-0031"/>
    <s v="Customer 0031"/>
    <s v="Consumer"/>
    <x v="2"/>
    <s v="Rajasthan"/>
    <s v="Jaipur"/>
    <x v="1"/>
    <s v="Accessories"/>
    <x v="8"/>
    <n v="4"/>
    <n v="1774.46"/>
    <n v="0.1"/>
    <n v="6388.06"/>
    <n v="1235.69"/>
    <s v="UPI"/>
  </r>
  <r>
    <s v="ORD-00266"/>
    <x v="288"/>
    <s v="CUST-0248"/>
    <s v="Customer 0248"/>
    <s v="Consumer"/>
    <x v="3"/>
    <s v="West Bengal"/>
    <s v="Kolkata"/>
    <x v="2"/>
    <s v="Stationery"/>
    <x v="13"/>
    <n v="5"/>
    <n v="584.51"/>
    <n v="0.1"/>
    <n v="2630.3"/>
    <n v="586.9"/>
    <s v="Card"/>
  </r>
  <r>
    <s v="ORD-00487"/>
    <x v="288"/>
    <s v="CUST-0246"/>
    <s v="Customer 0246"/>
    <s v="Small Business"/>
    <x v="1"/>
    <s v="Tamil Nadu"/>
    <s v="Chennai"/>
    <x v="1"/>
    <s v="Accessories"/>
    <x v="8"/>
    <n v="1"/>
    <n v="1717.37"/>
    <n v="0.15"/>
    <n v="1459.76"/>
    <n v="70.900000000000006"/>
    <s v="Net Banking"/>
  </r>
  <r>
    <s v="ORD-01063"/>
    <x v="289"/>
    <s v="CUST-0053"/>
    <s v="Customer 0053"/>
    <s v="Corporate"/>
    <x v="2"/>
    <s v="Uttar Pradesh"/>
    <s v="Lucknow"/>
    <x v="1"/>
    <s v="Accessories"/>
    <x v="3"/>
    <n v="1"/>
    <n v="1239.74"/>
    <n v="0.05"/>
    <n v="1177.75"/>
    <n v="86.87"/>
    <s v="Cash"/>
  </r>
  <r>
    <s v="ORD-01483"/>
    <x v="290"/>
    <s v="CUST-0091"/>
    <s v="Customer 0091"/>
    <s v="Corporate"/>
    <x v="0"/>
    <s v="Maharashtra"/>
    <s v="Pune"/>
    <x v="2"/>
    <s v="Stationery"/>
    <x v="13"/>
    <n v="1"/>
    <n v="607.91"/>
    <n v="0.05"/>
    <n v="577.51"/>
    <n v="141.75"/>
    <s v="Card"/>
  </r>
  <r>
    <s v="ORD-00694"/>
    <x v="290"/>
    <s v="CUST-0223"/>
    <s v="Customer 0223"/>
    <s v="Consumer"/>
    <x v="3"/>
    <s v="Odisha"/>
    <s v="Bhubaneswar"/>
    <x v="1"/>
    <s v="Accessories"/>
    <x v="3"/>
    <n v="2"/>
    <n v="1194.76"/>
    <n v="0.15"/>
    <n v="2031.09"/>
    <n v="160.22999999999999"/>
    <s v="Card"/>
  </r>
  <r>
    <s v="ORD-00951"/>
    <x v="290"/>
    <s v="CUST-0262"/>
    <s v="Customer 0262"/>
    <s v="Small Business"/>
    <x v="2"/>
    <s v="Delhi"/>
    <s v="Delhi"/>
    <x v="0"/>
    <s v="Tables"/>
    <x v="12"/>
    <n v="3"/>
    <n v="6453.09"/>
    <n v="0"/>
    <n v="19359.27"/>
    <n v="2934.82"/>
    <s v="Cash"/>
  </r>
  <r>
    <s v="ORD-00929"/>
    <x v="290"/>
    <s v="CUST-0067"/>
    <s v="Customer 0067"/>
    <s v="Small Business"/>
    <x v="1"/>
    <s v="Karnataka"/>
    <s v="Bengaluru"/>
    <x v="0"/>
    <s v="Chairs"/>
    <x v="7"/>
    <n v="4"/>
    <n v="8757.6"/>
    <n v="0.1"/>
    <n v="31527.360000000001"/>
    <n v="7309.37"/>
    <s v="Card"/>
  </r>
  <r>
    <s v="ORD-00993"/>
    <x v="291"/>
    <s v="CUST-0263"/>
    <s v="Customer 0263"/>
    <s v="Corporate"/>
    <x v="1"/>
    <s v="Tamil Nadu"/>
    <s v="Chennai"/>
    <x v="1"/>
    <s v="Accessories"/>
    <x v="8"/>
    <n v="3"/>
    <n v="1776.24"/>
    <n v="0.05"/>
    <n v="5062.28"/>
    <n v="389.54"/>
    <s v="Card"/>
  </r>
  <r>
    <s v="ORD-01386"/>
    <x v="292"/>
    <s v="CUST-0179"/>
    <s v="Customer 0179"/>
    <s v="Corporate"/>
    <x v="3"/>
    <s v="West Bengal"/>
    <s v="Kolkata"/>
    <x v="1"/>
    <s v="Laptops"/>
    <x v="5"/>
    <n v="1"/>
    <n v="50091.14"/>
    <n v="0"/>
    <n v="50091.14"/>
    <n v="8117.61"/>
    <s v="Net Banking"/>
  </r>
  <r>
    <s v="ORD-00798"/>
    <x v="292"/>
    <s v="CUST-0265"/>
    <s v="Customer 0265"/>
    <s v="Consumer"/>
    <x v="2"/>
    <s v="Delhi"/>
    <s v="Delhi"/>
    <x v="0"/>
    <s v="Tables"/>
    <x v="0"/>
    <n v="3"/>
    <n v="12356.22"/>
    <n v="0.15"/>
    <n v="31508.36"/>
    <n v="2884.18"/>
    <s v="UPI"/>
  </r>
  <r>
    <s v="ORD-00571"/>
    <x v="293"/>
    <s v="CUST-0139"/>
    <s v="Customer 0139"/>
    <s v="Corporate"/>
    <x v="1"/>
    <s v="Telangana"/>
    <s v="Hyderabad"/>
    <x v="1"/>
    <s v="Accessories"/>
    <x v="8"/>
    <n v="1"/>
    <n v="1760.63"/>
    <n v="0"/>
    <n v="1760.63"/>
    <n v="242.19"/>
    <s v="Net Banking"/>
  </r>
  <r>
    <s v="ORD-00690"/>
    <x v="293"/>
    <s v="CUST-0073"/>
    <s v="Customer 0073"/>
    <s v="Corporate"/>
    <x v="0"/>
    <s v="Gujarat"/>
    <s v="Ahmedabad"/>
    <x v="1"/>
    <s v="Phones"/>
    <x v="1"/>
    <n v="2"/>
    <n v="43076.18"/>
    <n v="0"/>
    <n v="86152.36"/>
    <n v="10220.25"/>
    <s v="Net Banking"/>
  </r>
  <r>
    <s v="ORD-00547"/>
    <x v="293"/>
    <s v="CUST-0243"/>
    <s v="Customer 0243"/>
    <s v="Consumer"/>
    <x v="3"/>
    <s v="Bihar"/>
    <s v="Patna"/>
    <x v="1"/>
    <s v="Laptops"/>
    <x v="10"/>
    <n v="1"/>
    <n v="65608.95"/>
    <n v="0.1"/>
    <n v="59048.06"/>
    <n v="9916.49"/>
    <s v="UPI"/>
  </r>
  <r>
    <s v="ORD-00335"/>
    <x v="293"/>
    <s v="CUST-0013"/>
    <s v="Customer 0013"/>
    <s v="Consumer"/>
    <x v="3"/>
    <s v="Odisha"/>
    <s v="Bhubaneswar"/>
    <x v="0"/>
    <s v="Storage"/>
    <x v="4"/>
    <n v="2"/>
    <n v="15110.9"/>
    <n v="0.05"/>
    <n v="28710.71"/>
    <n v="5767.98"/>
    <s v="Card"/>
  </r>
  <r>
    <s v="ORD-01379"/>
    <x v="293"/>
    <s v="CUST-0091"/>
    <s v="Customer 0091"/>
    <s v="Consumer"/>
    <x v="1"/>
    <s v="Tamil Nadu"/>
    <s v="Chennai"/>
    <x v="1"/>
    <s v="Accessories"/>
    <x v="3"/>
    <n v="1"/>
    <n v="1192.08"/>
    <n v="0.05"/>
    <n v="1132.48"/>
    <n v="151.29"/>
    <s v="Net Banking"/>
  </r>
  <r>
    <s v="ORD-00322"/>
    <x v="294"/>
    <s v="CUST-0016"/>
    <s v="Customer 0016"/>
    <s v="Consumer"/>
    <x v="1"/>
    <s v="Telangana"/>
    <s v="Hyderabad"/>
    <x v="1"/>
    <s v="Accessories"/>
    <x v="8"/>
    <n v="1"/>
    <n v="1748.68"/>
    <n v="0"/>
    <n v="1748.68"/>
    <n v="243.9"/>
    <s v="Cash"/>
  </r>
  <r>
    <s v="ORD-01241"/>
    <x v="294"/>
    <s v="CUST-0299"/>
    <s v="Customer 0299"/>
    <s v="Consumer"/>
    <x v="2"/>
    <s v="Delhi"/>
    <s v="Delhi"/>
    <x v="2"/>
    <s v="Storage"/>
    <x v="2"/>
    <n v="4"/>
    <n v="717.13"/>
    <n v="0.05"/>
    <n v="2725.09"/>
    <n v="692.78"/>
    <s v="Cash"/>
  </r>
  <r>
    <s v="ORD-01170"/>
    <x v="295"/>
    <s v="CUST-0068"/>
    <s v="Customer 0068"/>
    <s v="Consumer"/>
    <x v="1"/>
    <s v="Tamil Nadu"/>
    <s v="Chennai"/>
    <x v="1"/>
    <s v="Accessories"/>
    <x v="8"/>
    <n v="1"/>
    <n v="1860.43"/>
    <n v="0.15"/>
    <n v="1581.37"/>
    <n v="151.54"/>
    <s v="UPI"/>
  </r>
  <r>
    <s v="ORD-01395"/>
    <x v="295"/>
    <s v="CUST-0022"/>
    <s v="Customer 0022"/>
    <s v="Corporate"/>
    <x v="1"/>
    <s v="Telangana"/>
    <s v="Hyderabad"/>
    <x v="1"/>
    <s v="Accessories"/>
    <x v="3"/>
    <n v="3"/>
    <n v="1205.28"/>
    <n v="0"/>
    <n v="3615.84"/>
    <n v="550"/>
    <s v="Card"/>
  </r>
  <r>
    <s v="ORD-01124"/>
    <x v="295"/>
    <s v="CUST-0266"/>
    <s v="Customer 0266"/>
    <s v="Consumer"/>
    <x v="1"/>
    <s v="Karnataka"/>
    <s v="Bengaluru"/>
    <x v="1"/>
    <s v="Laptops"/>
    <x v="10"/>
    <n v="3"/>
    <n v="65250.23"/>
    <n v="0.05"/>
    <n v="185963.16"/>
    <n v="35041.08"/>
    <s v="Net Banking"/>
  </r>
  <r>
    <s v="ORD-01206"/>
    <x v="295"/>
    <s v="CUST-0204"/>
    <s v="Customer 0204"/>
    <s v="Consumer"/>
    <x v="3"/>
    <s v="Bihar"/>
    <s v="Patna"/>
    <x v="2"/>
    <s v="Stationery"/>
    <x v="9"/>
    <n v="3"/>
    <n v="366.89"/>
    <n v="0.05"/>
    <n v="1045.6400000000001"/>
    <n v="278.27"/>
    <s v="Card"/>
  </r>
  <r>
    <s v="ORD-01168"/>
    <x v="296"/>
    <s v="CUST-0039"/>
    <s v="Customer 0039"/>
    <s v="Corporate"/>
    <x v="2"/>
    <s v="Uttar Pradesh"/>
    <s v="Lucknow"/>
    <x v="1"/>
    <s v="Phones"/>
    <x v="11"/>
    <n v="4"/>
    <n v="17721.759999999998"/>
    <n v="0"/>
    <n v="70887.039999999994"/>
    <n v="13143.18"/>
    <s v="Cash"/>
  </r>
  <r>
    <s v="ORD-01187"/>
    <x v="296"/>
    <s v="CUST-0084"/>
    <s v="Customer 0084"/>
    <s v="Consumer"/>
    <x v="0"/>
    <s v="Gujarat"/>
    <s v="Ahmedabad"/>
    <x v="2"/>
    <s v="Stationery"/>
    <x v="9"/>
    <n v="2"/>
    <n v="333.1"/>
    <n v="0.1"/>
    <n v="599.58000000000004"/>
    <n v="169.1"/>
    <s v="Card"/>
  </r>
  <r>
    <s v="ORD-01019"/>
    <x v="296"/>
    <s v="CUST-0278"/>
    <s v="Customer 0278"/>
    <s v="Corporate"/>
    <x v="0"/>
    <s v="Gujarat"/>
    <s v="Ahmedabad"/>
    <x v="2"/>
    <s v="Storage"/>
    <x v="2"/>
    <n v="2"/>
    <n v="734.76"/>
    <n v="0.15"/>
    <n v="1249.0899999999999"/>
    <n v="214.69"/>
    <s v="Cash"/>
  </r>
  <r>
    <s v="ORD-01393"/>
    <x v="297"/>
    <s v="CUST-0232"/>
    <s v="Customer 0232"/>
    <s v="Small Business"/>
    <x v="1"/>
    <s v="Telangana"/>
    <s v="Hyderabad"/>
    <x v="2"/>
    <s v="Paper"/>
    <x v="6"/>
    <n v="1"/>
    <n v="450.15"/>
    <n v="0"/>
    <n v="450.15"/>
    <n v="125.02"/>
    <s v="Cash"/>
  </r>
  <r>
    <s v="ORD-00810"/>
    <x v="297"/>
    <s v="CUST-0134"/>
    <s v="Customer 0134"/>
    <s v="Consumer"/>
    <x v="0"/>
    <s v="Gujarat"/>
    <s v="Ahmedabad"/>
    <x v="2"/>
    <s v="Storage"/>
    <x v="2"/>
    <n v="1"/>
    <n v="741"/>
    <n v="0.1"/>
    <n v="666.9"/>
    <n v="136.84"/>
    <s v="Cash"/>
  </r>
  <r>
    <s v="ORD-01332"/>
    <x v="297"/>
    <s v="CUST-0083"/>
    <s v="Customer 0083"/>
    <s v="Consumer"/>
    <x v="2"/>
    <s v="Uttar Pradesh"/>
    <s v="Lucknow"/>
    <x v="1"/>
    <s v="Laptops"/>
    <x v="5"/>
    <n v="2"/>
    <n v="46843.19"/>
    <n v="0.05"/>
    <n v="89002.06"/>
    <n v="12033.86"/>
    <s v="Net Banking"/>
  </r>
  <r>
    <s v="ORD-01292"/>
    <x v="297"/>
    <s v="CUST-0012"/>
    <s v="Customer 0012"/>
    <s v="Small Business"/>
    <x v="1"/>
    <s v="Telangana"/>
    <s v="Hyderabad"/>
    <x v="0"/>
    <s v="Tables"/>
    <x v="12"/>
    <n v="3"/>
    <n v="6480.78"/>
    <n v="0.05"/>
    <n v="18470.22"/>
    <n v="2832.17"/>
    <s v="UPI"/>
  </r>
  <r>
    <s v="ORD-00725"/>
    <x v="297"/>
    <s v="CUST-0226"/>
    <s v="Customer 0226"/>
    <s v="Corporate"/>
    <x v="0"/>
    <s v="Maharashtra"/>
    <s v="Pune"/>
    <x v="2"/>
    <s v="Storage"/>
    <x v="2"/>
    <n v="2"/>
    <n v="731.96"/>
    <n v="0.1"/>
    <n v="1317.53"/>
    <n v="202.83"/>
    <s v="Card"/>
  </r>
  <r>
    <s v="ORD-01490"/>
    <x v="297"/>
    <s v="CUST-0223"/>
    <s v="Customer 0223"/>
    <s v="Corporate"/>
    <x v="1"/>
    <s v="Karnataka"/>
    <s v="Bengaluru"/>
    <x v="0"/>
    <s v="Tables"/>
    <x v="0"/>
    <n v="2"/>
    <n v="12380.97"/>
    <n v="0"/>
    <n v="24761.94"/>
    <n v="4432.92"/>
    <s v="UPI"/>
  </r>
  <r>
    <s v="ORD-00623"/>
    <x v="297"/>
    <s v="CUST-0232"/>
    <s v="Customer 0232"/>
    <s v="Consumer"/>
    <x v="3"/>
    <s v="West Bengal"/>
    <s v="Kolkata"/>
    <x v="1"/>
    <s v="Laptops"/>
    <x v="10"/>
    <n v="3"/>
    <n v="65844.17"/>
    <n v="0.1"/>
    <n v="177779.26"/>
    <n v="19595.759999999998"/>
    <s v="Card"/>
  </r>
  <r>
    <s v="ORD-00188"/>
    <x v="297"/>
    <s v="CUST-0228"/>
    <s v="Customer 0228"/>
    <s v="Consumer"/>
    <x v="2"/>
    <s v="Uttar Pradesh"/>
    <s v="Lucknow"/>
    <x v="2"/>
    <s v="Storage"/>
    <x v="2"/>
    <n v="3"/>
    <n v="740.36"/>
    <n v="0"/>
    <n v="2221.08"/>
    <n v="360.94"/>
    <s v="Cash"/>
  </r>
  <r>
    <s v="ORD-00771"/>
    <x v="298"/>
    <s v="CUST-0212"/>
    <s v="Customer 0212"/>
    <s v="Corporate"/>
    <x v="1"/>
    <s v="Karnataka"/>
    <s v="Bengaluru"/>
    <x v="1"/>
    <s v="Laptops"/>
    <x v="5"/>
    <n v="1"/>
    <n v="50357.07"/>
    <n v="0.05"/>
    <n v="47839.22"/>
    <n v="4028.79"/>
    <s v="Net Banking"/>
  </r>
  <r>
    <s v="ORD-01397"/>
    <x v="298"/>
    <s v="CUST-0240"/>
    <s v="Customer 0240"/>
    <s v="Consumer"/>
    <x v="1"/>
    <s v="Tamil Nadu"/>
    <s v="Chennai"/>
    <x v="2"/>
    <s v="Stationery"/>
    <x v="9"/>
    <n v="1"/>
    <n v="343.65"/>
    <n v="0.1"/>
    <n v="309.27999999999997"/>
    <n v="77.86"/>
    <s v="Net Banking"/>
  </r>
  <r>
    <s v="ORD-00254"/>
    <x v="298"/>
    <s v="CUST-0281"/>
    <s v="Customer 0281"/>
    <s v="Consumer"/>
    <x v="1"/>
    <s v="Telangana"/>
    <s v="Hyderabad"/>
    <x v="1"/>
    <s v="Laptops"/>
    <x v="10"/>
    <n v="1"/>
    <n v="65936.97"/>
    <n v="0.15"/>
    <n v="56046.42"/>
    <n v="3264.38"/>
    <s v="Cash"/>
  </r>
  <r>
    <s v="ORD-00355"/>
    <x v="299"/>
    <s v="CUST-0102"/>
    <s v="Customer 0102"/>
    <s v="Consumer"/>
    <x v="0"/>
    <s v="Gujarat"/>
    <s v="Ahmedabad"/>
    <x v="0"/>
    <s v="Tables"/>
    <x v="0"/>
    <n v="4"/>
    <n v="12330.29"/>
    <n v="0.1"/>
    <n v="44389.04"/>
    <n v="6164.79"/>
    <s v="UPI"/>
  </r>
  <r>
    <s v="ORD-00313"/>
    <x v="299"/>
    <s v="CUST-0295"/>
    <s v="Customer 0295"/>
    <s v="Consumer"/>
    <x v="3"/>
    <s v="West Bengal"/>
    <s v="Kolkata"/>
    <x v="1"/>
    <s v="Accessories"/>
    <x v="3"/>
    <n v="3"/>
    <n v="1187.02"/>
    <n v="0"/>
    <n v="3561.06"/>
    <n v="731.42"/>
    <s v="Cash"/>
  </r>
  <r>
    <s v="ORD-00969"/>
    <x v="300"/>
    <s v="CUST-0109"/>
    <s v="Customer 0109"/>
    <s v="Consumer"/>
    <x v="1"/>
    <s v="Tamil Nadu"/>
    <s v="Chennai"/>
    <x v="2"/>
    <s v="Paper"/>
    <x v="6"/>
    <n v="4"/>
    <n v="451.66"/>
    <n v="0.15"/>
    <n v="1535.64"/>
    <n v="423.83"/>
    <s v="Net Banking"/>
  </r>
  <r>
    <s v="ORD-00053"/>
    <x v="300"/>
    <s v="CUST-0288"/>
    <s v="Customer 0288"/>
    <s v="Consumer"/>
    <x v="2"/>
    <s v="Delhi"/>
    <s v="Delhi"/>
    <x v="0"/>
    <s v="Tables"/>
    <x v="0"/>
    <n v="1"/>
    <n v="11997.8"/>
    <n v="0"/>
    <n v="11997.8"/>
    <n v="2353.89"/>
    <s v="Net Banking"/>
  </r>
  <r>
    <s v="ORD-00934"/>
    <x v="300"/>
    <s v="CUST-0224"/>
    <s v="Customer 0224"/>
    <s v="Consumer"/>
    <x v="1"/>
    <s v="Karnataka"/>
    <s v="Bengaluru"/>
    <x v="1"/>
    <s v="Phones"/>
    <x v="1"/>
    <n v="2"/>
    <n v="43962.3"/>
    <n v="0.15"/>
    <n v="74735.91"/>
    <n v="8345.09"/>
    <s v="Card"/>
  </r>
  <r>
    <s v="ORD-01233"/>
    <x v="300"/>
    <s v="CUST-0276"/>
    <s v="Customer 0276"/>
    <s v="Consumer"/>
    <x v="2"/>
    <s v="Rajasthan"/>
    <s v="Jaipur"/>
    <x v="1"/>
    <s v="Accessories"/>
    <x v="8"/>
    <n v="1"/>
    <n v="1834.44"/>
    <n v="0.05"/>
    <n v="1742.72"/>
    <n v="290.91000000000003"/>
    <s v="Net Banking"/>
  </r>
  <r>
    <s v="ORD-00509"/>
    <x v="300"/>
    <s v="CUST-0069"/>
    <s v="Customer 0069"/>
    <s v="Consumer"/>
    <x v="2"/>
    <s v="Delhi"/>
    <s v="Delhi"/>
    <x v="1"/>
    <s v="Laptops"/>
    <x v="10"/>
    <n v="1"/>
    <n v="67832.87"/>
    <n v="0.05"/>
    <n v="64441.23"/>
    <n v="8722.7800000000007"/>
    <s v="UPI"/>
  </r>
  <r>
    <s v="ORD-00127"/>
    <x v="301"/>
    <s v="CUST-0025"/>
    <s v="Customer 0025"/>
    <s v="Small Business"/>
    <x v="0"/>
    <s v="Gujarat"/>
    <s v="Ahmedabad"/>
    <x v="2"/>
    <s v="Stationery"/>
    <x v="9"/>
    <n v="1"/>
    <n v="344.29"/>
    <n v="0.2"/>
    <n v="275.43"/>
    <n v="34.96"/>
    <s v="Net Banking"/>
  </r>
  <r>
    <s v="ORD-00651"/>
    <x v="301"/>
    <s v="CUST-0245"/>
    <s v="Customer 0245"/>
    <s v="Small Business"/>
    <x v="3"/>
    <s v="Odisha"/>
    <s v="Bhubaneswar"/>
    <x v="1"/>
    <s v="Phones"/>
    <x v="11"/>
    <n v="1"/>
    <n v="18666.04"/>
    <n v="0"/>
    <n v="18666.04"/>
    <n v="3155.58"/>
    <s v="Net Banking"/>
  </r>
  <r>
    <s v="ORD-01043"/>
    <x v="301"/>
    <s v="CUST-0203"/>
    <s v="Customer 0203"/>
    <s v="Corporate"/>
    <x v="1"/>
    <s v="Karnataka"/>
    <s v="Bengaluru"/>
    <x v="1"/>
    <s v="Accessories"/>
    <x v="8"/>
    <n v="1"/>
    <n v="1839.96"/>
    <n v="0.1"/>
    <n v="1655.96"/>
    <n v="264.85000000000002"/>
    <s v="Net Banking"/>
  </r>
  <r>
    <s v="ORD-00675"/>
    <x v="301"/>
    <s v="CUST-0122"/>
    <s v="Customer 0122"/>
    <s v="Consumer"/>
    <x v="2"/>
    <s v="Delhi"/>
    <s v="Delhi"/>
    <x v="1"/>
    <s v="Phones"/>
    <x v="1"/>
    <n v="2"/>
    <n v="39988.44"/>
    <n v="0.1"/>
    <n v="71979.19"/>
    <n v="3781.5"/>
    <s v="Net Banking"/>
  </r>
  <r>
    <s v="ORD-01069"/>
    <x v="301"/>
    <s v="CUST-0019"/>
    <s v="Customer 0019"/>
    <s v="Consumer"/>
    <x v="1"/>
    <s v="Telangana"/>
    <s v="Hyderabad"/>
    <x v="1"/>
    <s v="Laptops"/>
    <x v="5"/>
    <n v="3"/>
    <n v="49413.85"/>
    <n v="0.2"/>
    <n v="118593.24"/>
    <n v="5809.45"/>
    <s v="Net Banking"/>
  </r>
  <r>
    <s v="ORD-01326"/>
    <x v="301"/>
    <s v="CUST-0098"/>
    <s v="Customer 0098"/>
    <s v="Consumer"/>
    <x v="0"/>
    <s v="Gujarat"/>
    <s v="Ahmedabad"/>
    <x v="1"/>
    <s v="Laptops"/>
    <x v="5"/>
    <n v="1"/>
    <n v="46525.22"/>
    <n v="0"/>
    <n v="46525.22"/>
    <n v="7465.71"/>
    <s v="Net Banking"/>
  </r>
  <r>
    <s v="ORD-01177"/>
    <x v="301"/>
    <s v="CUST-0093"/>
    <s v="Customer 0093"/>
    <s v="Corporate"/>
    <x v="0"/>
    <s v="Maharashtra"/>
    <s v="Mumbai"/>
    <x v="2"/>
    <s v="Storage"/>
    <x v="2"/>
    <n v="5"/>
    <n v="777.14"/>
    <n v="0.15"/>
    <n v="3302.84"/>
    <n v="952.01"/>
    <s v="Net Banking"/>
  </r>
  <r>
    <s v="ORD-00166"/>
    <x v="302"/>
    <s v="CUST-0263"/>
    <s v="Customer 0263"/>
    <s v="Corporate"/>
    <x v="3"/>
    <s v="Odisha"/>
    <s v="Bhubaneswar"/>
    <x v="1"/>
    <s v="Phones"/>
    <x v="1"/>
    <n v="1"/>
    <n v="44086.13"/>
    <n v="0.1"/>
    <n v="39677.519999999997"/>
    <n v="6688.65"/>
    <s v="UPI"/>
  </r>
  <r>
    <s v="ORD-01408"/>
    <x v="302"/>
    <s v="CUST-0158"/>
    <s v="Customer 0158"/>
    <s v="Consumer"/>
    <x v="3"/>
    <s v="Bihar"/>
    <s v="Patna"/>
    <x v="1"/>
    <s v="Accessories"/>
    <x v="8"/>
    <n v="3"/>
    <n v="1861.44"/>
    <n v="0.05"/>
    <n v="5305.1"/>
    <n v="854.57"/>
    <s v="UPI"/>
  </r>
  <r>
    <s v="ORD-00169"/>
    <x v="302"/>
    <s v="CUST-0213"/>
    <s v="Customer 0213"/>
    <s v="Consumer"/>
    <x v="2"/>
    <s v="Rajasthan"/>
    <s v="Jaipur"/>
    <x v="2"/>
    <s v="Storage"/>
    <x v="2"/>
    <n v="1"/>
    <n v="740.36"/>
    <n v="0"/>
    <n v="740.36"/>
    <n v="150.41999999999999"/>
    <s v="Net Banking"/>
  </r>
  <r>
    <s v="ORD-00436"/>
    <x v="302"/>
    <s v="CUST-0015"/>
    <s v="Customer 0015"/>
    <s v="Consumer"/>
    <x v="2"/>
    <s v="Delhi"/>
    <s v="Delhi"/>
    <x v="0"/>
    <s v="Tables"/>
    <x v="12"/>
    <n v="4"/>
    <n v="6365.8"/>
    <n v="0.05"/>
    <n v="24190.04"/>
    <n v="3710.75"/>
    <s v="UPI"/>
  </r>
  <r>
    <s v="ORD-00597"/>
    <x v="303"/>
    <s v="CUST-0093"/>
    <s v="Customer 0093"/>
    <s v="Small Business"/>
    <x v="0"/>
    <s v="Gujarat"/>
    <s v="Ahmedabad"/>
    <x v="1"/>
    <s v="Phones"/>
    <x v="11"/>
    <n v="2"/>
    <n v="18520.099999999999"/>
    <n v="0.05"/>
    <n v="35188.19"/>
    <n v="5606.91"/>
    <s v="Net Banking"/>
  </r>
  <r>
    <s v="ORD-01287"/>
    <x v="303"/>
    <s v="CUST-0019"/>
    <s v="Customer 0019"/>
    <s v="Consumer"/>
    <x v="0"/>
    <s v="Gujarat"/>
    <s v="Ahmedabad"/>
    <x v="2"/>
    <s v="Storage"/>
    <x v="2"/>
    <n v="1"/>
    <n v="762.52"/>
    <n v="0.05"/>
    <n v="724.39"/>
    <n v="161.35"/>
    <s v="Net Banking"/>
  </r>
  <r>
    <s v="ORD-00824"/>
    <x v="303"/>
    <s v="CUST-0271"/>
    <s v="Customer 0271"/>
    <s v="Consumer"/>
    <x v="1"/>
    <s v="Karnataka"/>
    <s v="Bengaluru"/>
    <x v="1"/>
    <s v="Accessories"/>
    <x v="3"/>
    <n v="3"/>
    <n v="1211.24"/>
    <n v="0"/>
    <n v="3633.72"/>
    <n v="683.45"/>
    <s v="Net Banking"/>
  </r>
  <r>
    <s v="ORD-00804"/>
    <x v="303"/>
    <s v="CUST-0247"/>
    <s v="Customer 0247"/>
    <s v="Consumer"/>
    <x v="0"/>
    <s v="Maharashtra"/>
    <s v="Mumbai"/>
    <x v="2"/>
    <s v="Stationery"/>
    <x v="13"/>
    <n v="4"/>
    <n v="613.87"/>
    <n v="0"/>
    <n v="2455.48"/>
    <n v="796.55"/>
    <s v="Card"/>
  </r>
  <r>
    <s v="ORD-00815"/>
    <x v="303"/>
    <s v="CUST-0088"/>
    <s v="Customer 0088"/>
    <s v="Small Business"/>
    <x v="3"/>
    <s v="Bihar"/>
    <s v="Patna"/>
    <x v="0"/>
    <s v="Tables"/>
    <x v="12"/>
    <n v="1"/>
    <n v="6760.97"/>
    <n v="0.2"/>
    <n v="5408.78"/>
    <n v="557.55999999999995"/>
    <s v="Cash"/>
  </r>
  <r>
    <s v="ORD-00079"/>
    <x v="303"/>
    <s v="CUST-0110"/>
    <s v="Customer 0110"/>
    <s v="Consumer"/>
    <x v="1"/>
    <s v="Tamil Nadu"/>
    <s v="Chennai"/>
    <x v="1"/>
    <s v="Accessories"/>
    <x v="3"/>
    <n v="4"/>
    <n v="1177.3699999999999"/>
    <n v="0.05"/>
    <n v="4474.01"/>
    <n v="443.99"/>
    <s v="UPI"/>
  </r>
  <r>
    <s v="ORD-01133"/>
    <x v="304"/>
    <s v="CUST-0196"/>
    <s v="Customer 0196"/>
    <s v="Consumer"/>
    <x v="3"/>
    <s v="Bihar"/>
    <s v="Patna"/>
    <x v="0"/>
    <s v="Chairs"/>
    <x v="7"/>
    <n v="2"/>
    <n v="8570.64"/>
    <n v="0.15"/>
    <n v="14570.09"/>
    <n v="3237.51"/>
    <s v="Cash"/>
  </r>
  <r>
    <s v="ORD-00368"/>
    <x v="304"/>
    <s v="CUST-0166"/>
    <s v="Customer 0166"/>
    <s v="Consumer"/>
    <x v="0"/>
    <s v="Maharashtra"/>
    <s v="Mumbai"/>
    <x v="1"/>
    <s v="Laptops"/>
    <x v="10"/>
    <n v="2"/>
    <n v="63188.05"/>
    <n v="0.15"/>
    <n v="107419.68"/>
    <n v="9455.4599999999991"/>
    <s v="UPI"/>
  </r>
  <r>
    <s v="ORD-00970"/>
    <x v="304"/>
    <s v="CUST-0272"/>
    <s v="Customer 0272"/>
    <s v="Corporate"/>
    <x v="0"/>
    <s v="Maharashtra"/>
    <s v="Mumbai"/>
    <x v="2"/>
    <s v="Storage"/>
    <x v="2"/>
    <n v="3"/>
    <n v="779.55"/>
    <n v="0.1"/>
    <n v="2104.7800000000002"/>
    <n v="646.34"/>
    <s v="Card"/>
  </r>
  <r>
    <s v="ORD-00156"/>
    <x v="305"/>
    <s v="CUST-0286"/>
    <s v="Customer 0286"/>
    <s v="Consumer"/>
    <x v="0"/>
    <s v="Maharashtra"/>
    <s v="Mumbai"/>
    <x v="1"/>
    <s v="Phones"/>
    <x v="1"/>
    <n v="2"/>
    <n v="43939"/>
    <n v="0"/>
    <n v="87878"/>
    <n v="14842.1"/>
    <s v="Net Banking"/>
  </r>
  <r>
    <s v="ORD-00097"/>
    <x v="305"/>
    <s v="CUST-0102"/>
    <s v="Customer 0102"/>
    <s v="Corporate"/>
    <x v="3"/>
    <s v="Bihar"/>
    <s v="Patna"/>
    <x v="0"/>
    <s v="Storage"/>
    <x v="4"/>
    <n v="2"/>
    <n v="15105.1"/>
    <n v="0"/>
    <n v="30210.2"/>
    <n v="4286.55"/>
    <s v="UPI"/>
  </r>
  <r>
    <s v="ORD-01436"/>
    <x v="305"/>
    <s v="CUST-0018"/>
    <s v="Customer 0018"/>
    <s v="Corporate"/>
    <x v="2"/>
    <s v="Rajasthan"/>
    <s v="Jaipur"/>
    <x v="1"/>
    <s v="Laptops"/>
    <x v="5"/>
    <n v="4"/>
    <n v="45931.93"/>
    <n v="0.05"/>
    <n v="174541.33"/>
    <n v="21178.33"/>
    <s v="Net Banking"/>
  </r>
  <r>
    <s v="ORD-00975"/>
    <x v="306"/>
    <s v="CUST-0256"/>
    <s v="Customer 0256"/>
    <s v="Corporate"/>
    <x v="1"/>
    <s v="Karnataka"/>
    <s v="Bengaluru"/>
    <x v="1"/>
    <s v="Laptops"/>
    <x v="5"/>
    <n v="1"/>
    <n v="45698.45"/>
    <n v="0.15"/>
    <n v="38843.68"/>
    <n v="2583.59"/>
    <s v="Cash"/>
  </r>
  <r>
    <s v="ORD-00556"/>
    <x v="307"/>
    <s v="CUST-0114"/>
    <s v="Customer 0114"/>
    <s v="Corporate"/>
    <x v="3"/>
    <s v="Bihar"/>
    <s v="Patna"/>
    <x v="1"/>
    <s v="Phones"/>
    <x v="1"/>
    <n v="1"/>
    <n v="43720.17"/>
    <n v="0"/>
    <n v="43720.17"/>
    <n v="5147.97"/>
    <s v="Card"/>
  </r>
  <r>
    <s v="ORD-00337"/>
    <x v="307"/>
    <s v="CUST-0088"/>
    <s v="Customer 0088"/>
    <s v="Small Business"/>
    <x v="2"/>
    <s v="Delhi"/>
    <s v="Delhi"/>
    <x v="0"/>
    <s v="Chairs"/>
    <x v="7"/>
    <n v="1"/>
    <n v="8258.7900000000009"/>
    <n v="0"/>
    <n v="8258.7900000000009"/>
    <n v="1904.43"/>
    <s v="Net Banking"/>
  </r>
  <r>
    <s v="ORD-00026"/>
    <x v="307"/>
    <s v="CUST-0176"/>
    <s v="Customer 0176"/>
    <s v="Corporate"/>
    <x v="0"/>
    <s v="Gujarat"/>
    <s v="Ahmedabad"/>
    <x v="1"/>
    <s v="Accessories"/>
    <x v="8"/>
    <n v="1"/>
    <n v="1756.12"/>
    <n v="0.05"/>
    <n v="1668.31"/>
    <n v="266.25"/>
    <s v="Net Banking"/>
  </r>
  <r>
    <s v="ORD-00308"/>
    <x v="307"/>
    <s v="CUST-0035"/>
    <s v="Customer 0035"/>
    <s v="Consumer"/>
    <x v="1"/>
    <s v="Telangana"/>
    <s v="Hyderabad"/>
    <x v="2"/>
    <s v="Storage"/>
    <x v="2"/>
    <n v="2"/>
    <n v="778.83"/>
    <n v="0.15"/>
    <n v="1324.01"/>
    <n v="247.11"/>
    <s v="Cash"/>
  </r>
  <r>
    <s v="ORD-00187"/>
    <x v="308"/>
    <s v="CUST-0159"/>
    <s v="Customer 0159"/>
    <s v="Consumer"/>
    <x v="0"/>
    <s v="Maharashtra"/>
    <s v="Pune"/>
    <x v="1"/>
    <s v="Phones"/>
    <x v="1"/>
    <n v="1"/>
    <n v="40525.800000000003"/>
    <n v="0.1"/>
    <n v="36473.22"/>
    <n v="5423.93"/>
    <s v="Card"/>
  </r>
  <r>
    <s v="ORD-00378"/>
    <x v="308"/>
    <s v="CUST-0256"/>
    <s v="Customer 0256"/>
    <s v="Small Business"/>
    <x v="3"/>
    <s v="West Bengal"/>
    <s v="Kolkata"/>
    <x v="1"/>
    <s v="Phones"/>
    <x v="11"/>
    <n v="3"/>
    <n v="18117.759999999998"/>
    <n v="0"/>
    <n v="54353.279999999999"/>
    <n v="7713.56"/>
    <s v="Card"/>
  </r>
  <r>
    <s v="ORD-00183"/>
    <x v="308"/>
    <s v="CUST-0231"/>
    <s v="Customer 0231"/>
    <s v="Corporate"/>
    <x v="1"/>
    <s v="Karnataka"/>
    <s v="Bengaluru"/>
    <x v="0"/>
    <s v="Storage"/>
    <x v="4"/>
    <n v="3"/>
    <n v="14556.11"/>
    <n v="0.05"/>
    <n v="41484.910000000003"/>
    <n v="7810.15"/>
    <s v="Card"/>
  </r>
  <r>
    <s v="ORD-00171"/>
    <x v="308"/>
    <s v="CUST-0192"/>
    <s v="Customer 0192"/>
    <s v="Corporate"/>
    <x v="3"/>
    <s v="West Bengal"/>
    <s v="Kolkata"/>
    <x v="0"/>
    <s v="Tables"/>
    <x v="12"/>
    <n v="1"/>
    <n v="6459.44"/>
    <n v="0.1"/>
    <n v="5813.5"/>
    <n v="754.16"/>
    <s v="Net Banking"/>
  </r>
  <r>
    <s v="ORD-01016"/>
    <x v="308"/>
    <s v="CUST-0146"/>
    <s v="Customer 0146"/>
    <s v="Corporate"/>
    <x v="0"/>
    <s v="Maharashtra"/>
    <s v="Mumbai"/>
    <x v="1"/>
    <s v="Laptops"/>
    <x v="10"/>
    <n v="2"/>
    <n v="65731.179999999993"/>
    <n v="0"/>
    <n v="131462.35999999999"/>
    <n v="24098.82"/>
    <s v="Cash"/>
  </r>
  <r>
    <s v="ORD-00208"/>
    <x v="308"/>
    <s v="CUST-0156"/>
    <s v="Customer 0156"/>
    <s v="Small Business"/>
    <x v="1"/>
    <s v="Tamil Nadu"/>
    <s v="Chennai"/>
    <x v="1"/>
    <s v="Accessories"/>
    <x v="3"/>
    <n v="1"/>
    <n v="1157.04"/>
    <n v="0"/>
    <n v="1157.04"/>
    <n v="148.91999999999999"/>
    <s v="Cash"/>
  </r>
  <r>
    <s v="ORD-01198"/>
    <x v="309"/>
    <s v="CUST-0240"/>
    <s v="Customer 0240"/>
    <s v="Corporate"/>
    <x v="2"/>
    <s v="Uttar Pradesh"/>
    <s v="Lucknow"/>
    <x v="1"/>
    <s v="Laptops"/>
    <x v="5"/>
    <n v="3"/>
    <n v="48964.65"/>
    <n v="0.1"/>
    <n v="132204.56"/>
    <n v="24372.51"/>
    <s v="Card"/>
  </r>
  <r>
    <s v="ORD-01415"/>
    <x v="310"/>
    <s v="CUST-0203"/>
    <s v="Customer 0203"/>
    <s v="Consumer"/>
    <x v="2"/>
    <s v="Uttar Pradesh"/>
    <s v="Lucknow"/>
    <x v="2"/>
    <s v="Paper"/>
    <x v="6"/>
    <n v="3"/>
    <n v="463.02"/>
    <n v="0"/>
    <n v="1389.06"/>
    <n v="255.06"/>
    <s v="Net Banking"/>
  </r>
  <r>
    <s v="ORD-01030"/>
    <x v="310"/>
    <s v="CUST-0241"/>
    <s v="Customer 0241"/>
    <s v="Consumer"/>
    <x v="3"/>
    <s v="Bihar"/>
    <s v="Patna"/>
    <x v="0"/>
    <s v="Tables"/>
    <x v="0"/>
    <n v="1"/>
    <n v="11485.45"/>
    <n v="0.05"/>
    <n v="10911.18"/>
    <n v="2615.94"/>
    <s v="Card"/>
  </r>
  <r>
    <s v="ORD-00752"/>
    <x v="310"/>
    <s v="CUST-0159"/>
    <s v="Customer 0159"/>
    <s v="Corporate"/>
    <x v="1"/>
    <s v="Karnataka"/>
    <s v="Bengaluru"/>
    <x v="1"/>
    <s v="Accessories"/>
    <x v="3"/>
    <n v="4"/>
    <n v="1142.51"/>
    <n v="0.05"/>
    <n v="4341.54"/>
    <n v="458.15"/>
    <s v="Card"/>
  </r>
  <r>
    <s v="ORD-00685"/>
    <x v="311"/>
    <s v="CUST-0101"/>
    <s v="Customer 0101"/>
    <s v="Small Business"/>
    <x v="2"/>
    <s v="Uttar Pradesh"/>
    <s v="Lucknow"/>
    <x v="1"/>
    <s v="Accessories"/>
    <x v="3"/>
    <n v="3"/>
    <n v="1223.1099999999999"/>
    <n v="0"/>
    <n v="3669.33"/>
    <n v="587.33000000000004"/>
    <s v="Net Banking"/>
  </r>
  <r>
    <s v="ORD-00652"/>
    <x v="311"/>
    <s v="CUST-0127"/>
    <s v="Customer 0127"/>
    <s v="Small Business"/>
    <x v="2"/>
    <s v="Delhi"/>
    <s v="Delhi"/>
    <x v="2"/>
    <s v="Storage"/>
    <x v="2"/>
    <n v="1"/>
    <n v="748.64"/>
    <n v="0.05"/>
    <n v="711.21"/>
    <n v="171.88"/>
    <s v="Net Banking"/>
  </r>
  <r>
    <s v="ORD-00124"/>
    <x v="311"/>
    <s v="CUST-0166"/>
    <s v="Customer 0166"/>
    <s v="Corporate"/>
    <x v="1"/>
    <s v="Telangana"/>
    <s v="Hyderabad"/>
    <x v="1"/>
    <s v="Laptops"/>
    <x v="5"/>
    <n v="3"/>
    <n v="46560.72"/>
    <n v="0.15"/>
    <n v="118729.84"/>
    <n v="10035.790000000001"/>
    <s v="Cash"/>
  </r>
  <r>
    <s v="ORD-01207"/>
    <x v="311"/>
    <s v="CUST-0249"/>
    <s v="Customer 0249"/>
    <s v="Consumer"/>
    <x v="3"/>
    <s v="Bihar"/>
    <s v="Patna"/>
    <x v="0"/>
    <s v="Storage"/>
    <x v="4"/>
    <n v="2"/>
    <n v="14910.29"/>
    <n v="0.2"/>
    <n v="23856.46"/>
    <n v="1617.55"/>
    <s v="Cash"/>
  </r>
  <r>
    <s v="ORD-00125"/>
    <x v="312"/>
    <s v="CUST-0073"/>
    <s v="Customer 0073"/>
    <s v="Consumer"/>
    <x v="3"/>
    <s v="West Bengal"/>
    <s v="Kolkata"/>
    <x v="1"/>
    <s v="Accessories"/>
    <x v="8"/>
    <n v="2"/>
    <n v="1866.77"/>
    <n v="0.1"/>
    <n v="3360.19"/>
    <n v="503.79"/>
    <s v="Cash"/>
  </r>
  <r>
    <s v="ORD-00940"/>
    <x v="312"/>
    <s v="CUST-0199"/>
    <s v="Customer 0199"/>
    <s v="Small Business"/>
    <x v="1"/>
    <s v="Tamil Nadu"/>
    <s v="Chennai"/>
    <x v="2"/>
    <s v="Storage"/>
    <x v="2"/>
    <n v="3"/>
    <n v="770.97"/>
    <n v="0.05"/>
    <n v="2197.2600000000002"/>
    <n v="544.32000000000005"/>
    <s v="UPI"/>
  </r>
  <r>
    <s v="ORD-01283"/>
    <x v="312"/>
    <s v="CUST-0221"/>
    <s v="Customer 0221"/>
    <s v="Small Business"/>
    <x v="0"/>
    <s v="Maharashtra"/>
    <s v="Pune"/>
    <x v="1"/>
    <s v="Laptops"/>
    <x v="5"/>
    <n v="2"/>
    <n v="47806.02"/>
    <n v="0.05"/>
    <n v="90831.44"/>
    <n v="8462.2000000000007"/>
    <s v="Card"/>
  </r>
  <r>
    <s v="ORD-01064"/>
    <x v="313"/>
    <s v="CUST-0220"/>
    <s v="Customer 0220"/>
    <s v="Consumer"/>
    <x v="1"/>
    <s v="Tamil Nadu"/>
    <s v="Chennai"/>
    <x v="2"/>
    <s v="Storage"/>
    <x v="2"/>
    <n v="2"/>
    <n v="717.67"/>
    <n v="0.1"/>
    <n v="1291.81"/>
    <n v="402.41"/>
    <s v="UPI"/>
  </r>
  <r>
    <s v="ORD-01412"/>
    <x v="313"/>
    <s v="CUST-0272"/>
    <s v="Customer 0272"/>
    <s v="Consumer"/>
    <x v="0"/>
    <s v="Maharashtra"/>
    <s v="Pune"/>
    <x v="1"/>
    <s v="Accessories"/>
    <x v="3"/>
    <n v="2"/>
    <n v="1197.0999999999999"/>
    <n v="0.1"/>
    <n v="2154.7800000000002"/>
    <n v="366.54"/>
    <s v="Net Banking"/>
  </r>
  <r>
    <s v="ORD-01265"/>
    <x v="313"/>
    <s v="CUST-0065"/>
    <s v="Customer 0065"/>
    <s v="Corporate"/>
    <x v="1"/>
    <s v="Tamil Nadu"/>
    <s v="Chennai"/>
    <x v="0"/>
    <s v="Tables"/>
    <x v="0"/>
    <n v="2"/>
    <n v="12050.93"/>
    <n v="0.05"/>
    <n v="22896.77"/>
    <n v="6086.72"/>
    <s v="Cash"/>
  </r>
  <r>
    <s v="ORD-00384"/>
    <x v="313"/>
    <s v="CUST-0275"/>
    <s v="Customer 0275"/>
    <s v="Consumer"/>
    <x v="1"/>
    <s v="Telangana"/>
    <s v="Hyderabad"/>
    <x v="0"/>
    <s v="Storage"/>
    <x v="4"/>
    <n v="1"/>
    <n v="15095.66"/>
    <n v="0.05"/>
    <n v="14340.88"/>
    <n v="2773.71"/>
    <s v="Net Banking"/>
  </r>
  <r>
    <s v="ORD-00948"/>
    <x v="314"/>
    <s v="CUST-0193"/>
    <s v="Customer 0193"/>
    <s v="Corporate"/>
    <x v="1"/>
    <s v="Telangana"/>
    <s v="Hyderabad"/>
    <x v="2"/>
    <s v="Stationery"/>
    <x v="9"/>
    <n v="4"/>
    <n v="337.93"/>
    <n v="0"/>
    <n v="1351.72"/>
    <n v="416.13"/>
    <s v="Net Banking"/>
  </r>
  <r>
    <s v="ORD-01455"/>
    <x v="314"/>
    <s v="CUST-0155"/>
    <s v="Customer 0155"/>
    <s v="Small Business"/>
    <x v="0"/>
    <s v="Gujarat"/>
    <s v="Ahmedabad"/>
    <x v="1"/>
    <s v="Accessories"/>
    <x v="8"/>
    <n v="2"/>
    <n v="1856.18"/>
    <n v="0"/>
    <n v="3712.36"/>
    <n v="414.31"/>
    <s v="Net Banking"/>
  </r>
  <r>
    <s v="ORD-01359"/>
    <x v="314"/>
    <s v="CUST-0092"/>
    <s v="Customer 0092"/>
    <s v="Small Business"/>
    <x v="2"/>
    <s v="Delhi"/>
    <s v="Delhi"/>
    <x v="1"/>
    <s v="Accessories"/>
    <x v="3"/>
    <n v="2"/>
    <n v="1155.1600000000001"/>
    <n v="0.05"/>
    <n v="2194.8000000000002"/>
    <n v="298.93"/>
    <s v="Net Banking"/>
  </r>
  <r>
    <s v="ORD-01136"/>
    <x v="314"/>
    <s v="CUST-0241"/>
    <s v="Customer 0241"/>
    <s v="Corporate"/>
    <x v="2"/>
    <s v="Delhi"/>
    <s v="Delhi"/>
    <x v="0"/>
    <s v="Tables"/>
    <x v="12"/>
    <n v="3"/>
    <n v="6741.03"/>
    <n v="0.1"/>
    <n v="18200.78"/>
    <n v="4272.51"/>
    <s v="Card"/>
  </r>
  <r>
    <s v="ORD-00409"/>
    <x v="314"/>
    <s v="CUST-0079"/>
    <s v="Customer 0079"/>
    <s v="Consumer"/>
    <x v="1"/>
    <s v="Karnataka"/>
    <s v="Bengaluru"/>
    <x v="2"/>
    <s v="Storage"/>
    <x v="2"/>
    <n v="5"/>
    <n v="758.55"/>
    <n v="0"/>
    <n v="3792.75"/>
    <n v="1036.5"/>
    <s v="Cash"/>
  </r>
  <r>
    <s v="ORD-00468"/>
    <x v="314"/>
    <s v="CUST-0191"/>
    <s v="Customer 0191"/>
    <s v="Corporate"/>
    <x v="2"/>
    <s v="Rajasthan"/>
    <s v="Jaipur"/>
    <x v="1"/>
    <s v="Phones"/>
    <x v="1"/>
    <n v="2"/>
    <n v="42363.35"/>
    <n v="0.2"/>
    <n v="67781.36"/>
    <n v="6485.73"/>
    <s v="Card"/>
  </r>
  <r>
    <s v="ORD-01023"/>
    <x v="314"/>
    <s v="CUST-0063"/>
    <s v="Customer 0063"/>
    <s v="Consumer"/>
    <x v="2"/>
    <s v="Rajasthan"/>
    <s v="Jaipur"/>
    <x v="0"/>
    <s v="Chairs"/>
    <x v="7"/>
    <n v="4"/>
    <n v="8755.86"/>
    <n v="0.1"/>
    <n v="31521.1"/>
    <n v="5303.38"/>
    <s v="Card"/>
  </r>
  <r>
    <s v="ORD-00251"/>
    <x v="314"/>
    <s v="CUST-0154"/>
    <s v="Customer 0154"/>
    <s v="Corporate"/>
    <x v="1"/>
    <s v="Telangana"/>
    <s v="Hyderabad"/>
    <x v="1"/>
    <s v="Laptops"/>
    <x v="10"/>
    <n v="2"/>
    <n v="65541.23"/>
    <n v="0.15"/>
    <n v="111420.09"/>
    <n v="13104.3"/>
    <s v="UPI"/>
  </r>
  <r>
    <s v="ORD-01025"/>
    <x v="315"/>
    <s v="CUST-0258"/>
    <s v="Customer 0258"/>
    <s v="Consumer"/>
    <x v="0"/>
    <s v="Maharashtra"/>
    <s v="Mumbai"/>
    <x v="1"/>
    <s v="Accessories"/>
    <x v="3"/>
    <n v="5"/>
    <n v="1230.6099999999999"/>
    <n v="0.05"/>
    <n v="5845.4"/>
    <n v="1033.43"/>
    <s v="Card"/>
  </r>
  <r>
    <s v="ORD-00780"/>
    <x v="315"/>
    <s v="CUST-0254"/>
    <s v="Customer 0254"/>
    <s v="Corporate"/>
    <x v="2"/>
    <s v="Delhi"/>
    <s v="Delhi"/>
    <x v="1"/>
    <s v="Phones"/>
    <x v="11"/>
    <n v="1"/>
    <n v="18744.2"/>
    <n v="0.05"/>
    <n v="17806.990000000002"/>
    <n v="2189.17"/>
    <s v="Net Banking"/>
  </r>
  <r>
    <s v="ORD-01181"/>
    <x v="315"/>
    <s v="CUST-0127"/>
    <s v="Customer 0127"/>
    <s v="Consumer"/>
    <x v="0"/>
    <s v="Maharashtra"/>
    <s v="Mumbai"/>
    <x v="1"/>
    <s v="Phones"/>
    <x v="11"/>
    <n v="1"/>
    <n v="17116.400000000001"/>
    <n v="0.1"/>
    <n v="15404.76"/>
    <n v="2501.4"/>
    <s v="Cash"/>
  </r>
  <r>
    <s v="ORD-00292"/>
    <x v="316"/>
    <s v="CUST-0248"/>
    <s v="Customer 0248"/>
    <s v="Small Business"/>
    <x v="2"/>
    <s v="Uttar Pradesh"/>
    <s v="Lucknow"/>
    <x v="1"/>
    <s v="Accessories"/>
    <x v="8"/>
    <n v="1"/>
    <n v="1874.65"/>
    <n v="0.2"/>
    <n v="1499.72"/>
    <n v="58.64"/>
    <s v="Card"/>
  </r>
  <r>
    <s v="ORD-00928"/>
    <x v="316"/>
    <s v="CUST-0163"/>
    <s v="Customer 0163"/>
    <s v="Small Business"/>
    <x v="2"/>
    <s v="Delhi"/>
    <s v="Delhi"/>
    <x v="2"/>
    <s v="Storage"/>
    <x v="2"/>
    <n v="2"/>
    <n v="787.09"/>
    <n v="0"/>
    <n v="1574.18"/>
    <n v="537.29"/>
    <s v="Cash"/>
  </r>
  <r>
    <s v="ORD-00432"/>
    <x v="316"/>
    <s v="CUST-0025"/>
    <s v="Customer 0025"/>
    <s v="Consumer"/>
    <x v="3"/>
    <s v="West Bengal"/>
    <s v="Kolkata"/>
    <x v="2"/>
    <s v="Stationery"/>
    <x v="9"/>
    <n v="2"/>
    <n v="340.99"/>
    <n v="0.15"/>
    <n v="579.67999999999995"/>
    <n v="81.92"/>
    <s v="Net Banking"/>
  </r>
  <r>
    <s v="ORD-00024"/>
    <x v="317"/>
    <s v="CUST-0181"/>
    <s v="Customer 0181"/>
    <s v="Corporate"/>
    <x v="0"/>
    <s v="Maharashtra"/>
    <s v="Mumbai"/>
    <x v="0"/>
    <s v="Tables"/>
    <x v="0"/>
    <n v="5"/>
    <n v="11766.84"/>
    <n v="0"/>
    <n v="58834.2"/>
    <n v="8857.24"/>
    <s v="Net Banking"/>
  </r>
  <r>
    <s v="ORD-00242"/>
    <x v="317"/>
    <s v="CUST-0013"/>
    <s v="Customer 0013"/>
    <s v="Small Business"/>
    <x v="2"/>
    <s v="Uttar Pradesh"/>
    <s v="Lucknow"/>
    <x v="1"/>
    <s v="Accessories"/>
    <x v="8"/>
    <n v="1"/>
    <n v="1847.27"/>
    <n v="0.1"/>
    <n v="1662.54"/>
    <n v="331.4"/>
    <s v="Card"/>
  </r>
  <r>
    <s v="ORD-00560"/>
    <x v="317"/>
    <s v="CUST-0058"/>
    <s v="Customer 0058"/>
    <s v="Consumer"/>
    <x v="1"/>
    <s v="Tamil Nadu"/>
    <s v="Chennai"/>
    <x v="1"/>
    <s v="Accessories"/>
    <x v="3"/>
    <n v="2"/>
    <n v="1183.3"/>
    <n v="0.2"/>
    <n v="1893.28"/>
    <n v="161.80000000000001"/>
    <s v="UPI"/>
  </r>
  <r>
    <s v="ORD-01399"/>
    <x v="317"/>
    <s v="CUST-0177"/>
    <s v="Customer 0177"/>
    <s v="Corporate"/>
    <x v="3"/>
    <s v="Bihar"/>
    <s v="Patna"/>
    <x v="0"/>
    <s v="Tables"/>
    <x v="12"/>
    <n v="1"/>
    <n v="6431.21"/>
    <n v="0"/>
    <n v="6431.21"/>
    <n v="946.78"/>
    <s v="Net Banking"/>
  </r>
  <r>
    <s v="ORD-00108"/>
    <x v="317"/>
    <s v="CUST-0269"/>
    <s v="Customer 0269"/>
    <s v="Consumer"/>
    <x v="0"/>
    <s v="Gujarat"/>
    <s v="Ahmedabad"/>
    <x v="1"/>
    <s v="Phones"/>
    <x v="1"/>
    <n v="2"/>
    <n v="42336.36"/>
    <n v="0.1"/>
    <n v="76205.45"/>
    <n v="4638.75"/>
    <s v="Cash"/>
  </r>
  <r>
    <s v="ORD-01461"/>
    <x v="318"/>
    <s v="CUST-0159"/>
    <s v="Customer 0159"/>
    <s v="Consumer"/>
    <x v="1"/>
    <s v="Karnataka"/>
    <s v="Bengaluru"/>
    <x v="1"/>
    <s v="Accessories"/>
    <x v="8"/>
    <n v="3"/>
    <n v="1732.63"/>
    <n v="0.05"/>
    <n v="4938"/>
    <n v="652.62"/>
    <s v="Cash"/>
  </r>
  <r>
    <s v="ORD-00277"/>
    <x v="318"/>
    <s v="CUST-0116"/>
    <s v="Customer 0116"/>
    <s v="Consumer"/>
    <x v="1"/>
    <s v="Telangana"/>
    <s v="Hyderabad"/>
    <x v="1"/>
    <s v="Laptops"/>
    <x v="5"/>
    <n v="1"/>
    <n v="48450.25"/>
    <n v="0.05"/>
    <n v="46027.74"/>
    <n v="3297.56"/>
    <s v="Card"/>
  </r>
  <r>
    <s v="ORD-00217"/>
    <x v="318"/>
    <s v="CUST-0255"/>
    <s v="Customer 0255"/>
    <s v="Corporate"/>
    <x v="0"/>
    <s v="Maharashtra"/>
    <s v="Pune"/>
    <x v="1"/>
    <s v="Laptops"/>
    <x v="5"/>
    <n v="1"/>
    <n v="47944.2"/>
    <n v="0"/>
    <n v="47944.2"/>
    <n v="8786.2199999999993"/>
    <s v="Cash"/>
  </r>
  <r>
    <s v="ORD-00015"/>
    <x v="318"/>
    <s v="CUST-0224"/>
    <s v="Customer 0224"/>
    <s v="Small Business"/>
    <x v="1"/>
    <s v="Telangana"/>
    <s v="Hyderabad"/>
    <x v="1"/>
    <s v="Accessories"/>
    <x v="3"/>
    <n v="1"/>
    <n v="1198.73"/>
    <n v="0"/>
    <n v="1198.73"/>
    <n v="261.31"/>
    <s v="Cash"/>
  </r>
  <r>
    <s v="ORD-01428"/>
    <x v="318"/>
    <s v="CUST-0162"/>
    <s v="Customer 0162"/>
    <s v="Small Business"/>
    <x v="0"/>
    <s v="Maharashtra"/>
    <s v="Pune"/>
    <x v="0"/>
    <s v="Storage"/>
    <x v="4"/>
    <n v="2"/>
    <n v="14200.7"/>
    <n v="0.15"/>
    <n v="24141.19"/>
    <n v="5245.82"/>
    <s v="Net Banking"/>
  </r>
  <r>
    <s v="ORD-01327"/>
    <x v="319"/>
    <s v="CUST-0161"/>
    <s v="Customer 0161"/>
    <s v="Consumer"/>
    <x v="1"/>
    <s v="Telangana"/>
    <s v="Hyderabad"/>
    <x v="2"/>
    <s v="Storage"/>
    <x v="2"/>
    <n v="1"/>
    <n v="771.79"/>
    <n v="0.2"/>
    <n v="617.42999999999995"/>
    <n v="138.11000000000001"/>
    <s v="Net Banking"/>
  </r>
  <r>
    <s v="ORD-00532"/>
    <x v="319"/>
    <s v="CUST-0225"/>
    <s v="Customer 0225"/>
    <s v="Consumer"/>
    <x v="2"/>
    <s v="Rajasthan"/>
    <s v="Jaipur"/>
    <x v="0"/>
    <s v="Chairs"/>
    <x v="7"/>
    <n v="2"/>
    <n v="8520.57"/>
    <n v="0.05"/>
    <n v="16189.08"/>
    <n v="3535.22"/>
    <s v="Cash"/>
  </r>
  <r>
    <s v="ORD-00348"/>
    <x v="319"/>
    <s v="CUST-0206"/>
    <s v="Customer 0206"/>
    <s v="Consumer"/>
    <x v="0"/>
    <s v="Maharashtra"/>
    <s v="Mumbai"/>
    <x v="1"/>
    <s v="Accessories"/>
    <x v="8"/>
    <n v="4"/>
    <n v="1770.75"/>
    <n v="0.15"/>
    <n v="6020.55"/>
    <n v="876.77"/>
    <s v="Card"/>
  </r>
  <r>
    <s v="ORD-00887"/>
    <x v="319"/>
    <s v="CUST-0112"/>
    <s v="Customer 0112"/>
    <s v="Consumer"/>
    <x v="3"/>
    <s v="Odisha"/>
    <s v="Bhubaneswar"/>
    <x v="0"/>
    <s v="Tables"/>
    <x v="0"/>
    <n v="2"/>
    <n v="12240.98"/>
    <n v="0"/>
    <n v="24481.96"/>
    <n v="6568.24"/>
    <s v="Card"/>
  </r>
  <r>
    <s v="ORD-00401"/>
    <x v="320"/>
    <s v="CUST-0020"/>
    <s v="Customer 0020"/>
    <s v="Corporate"/>
    <x v="0"/>
    <s v="Maharashtra"/>
    <s v="Pune"/>
    <x v="1"/>
    <s v="Phones"/>
    <x v="1"/>
    <n v="3"/>
    <n v="41184.120000000003"/>
    <n v="0.05"/>
    <n v="117374.74"/>
    <n v="14433.83"/>
    <s v="Net Banking"/>
  </r>
  <r>
    <s v="ORD-00132"/>
    <x v="320"/>
    <s v="CUST-0041"/>
    <s v="Customer 0041"/>
    <s v="Consumer"/>
    <x v="1"/>
    <s v="Karnataka"/>
    <s v="Bengaluru"/>
    <x v="1"/>
    <s v="Accessories"/>
    <x v="3"/>
    <n v="4"/>
    <n v="1201.78"/>
    <n v="0.05"/>
    <n v="4566.76"/>
    <n v="538.33000000000004"/>
    <s v="UPI"/>
  </r>
  <r>
    <s v="ORD-00640"/>
    <x v="321"/>
    <s v="CUST-0071"/>
    <s v="Customer 0071"/>
    <s v="Consumer"/>
    <x v="2"/>
    <s v="Delhi"/>
    <s v="Delhi"/>
    <x v="1"/>
    <s v="Laptops"/>
    <x v="5"/>
    <n v="2"/>
    <n v="47658.81"/>
    <n v="0.05"/>
    <n v="90551.74"/>
    <n v="13624.77"/>
    <s v="Card"/>
  </r>
  <r>
    <s v="ORD-01267"/>
    <x v="322"/>
    <s v="CUST-0130"/>
    <s v="Customer 0130"/>
    <s v="Consumer"/>
    <x v="2"/>
    <s v="Rajasthan"/>
    <s v="Jaipur"/>
    <x v="1"/>
    <s v="Laptops"/>
    <x v="5"/>
    <n v="3"/>
    <n v="47296.17"/>
    <n v="0.1"/>
    <n v="127699.66"/>
    <n v="22642.33"/>
    <s v="Cash"/>
  </r>
  <r>
    <s v="ORD-00289"/>
    <x v="322"/>
    <s v="CUST-0007"/>
    <s v="Customer 0007"/>
    <s v="Consumer"/>
    <x v="3"/>
    <s v="Bihar"/>
    <s v="Patna"/>
    <x v="0"/>
    <s v="Tables"/>
    <x v="12"/>
    <n v="4"/>
    <n v="6813.24"/>
    <n v="0.15"/>
    <n v="23165.02"/>
    <n v="4544.91"/>
    <s v="Net Banking"/>
  </r>
  <r>
    <s v="ORD-00749"/>
    <x v="322"/>
    <s v="CUST-0163"/>
    <s v="Customer 0163"/>
    <s v="Consumer"/>
    <x v="1"/>
    <s v="Karnataka"/>
    <s v="Bengaluru"/>
    <x v="2"/>
    <s v="Paper"/>
    <x v="6"/>
    <n v="1"/>
    <n v="467.88"/>
    <n v="0.15"/>
    <n v="397.7"/>
    <n v="88.12"/>
    <s v="Net Banking"/>
  </r>
  <r>
    <s v="ORD-00991"/>
    <x v="322"/>
    <s v="CUST-0001"/>
    <s v="Customer 0001"/>
    <s v="Small Business"/>
    <x v="0"/>
    <s v="Maharashtra"/>
    <s v="Mumbai"/>
    <x v="2"/>
    <s v="Paper"/>
    <x v="6"/>
    <n v="2"/>
    <n v="448.01"/>
    <n v="0.2"/>
    <n v="716.82"/>
    <n v="176.63"/>
    <s v="UPI"/>
  </r>
  <r>
    <s v="ORD-00588"/>
    <x v="322"/>
    <s v="CUST-0025"/>
    <s v="Customer 0025"/>
    <s v="Consumer"/>
    <x v="2"/>
    <s v="Delhi"/>
    <s v="Delhi"/>
    <x v="1"/>
    <s v="Accessories"/>
    <x v="8"/>
    <n v="1"/>
    <n v="1874.65"/>
    <n v="0"/>
    <n v="1874.65"/>
    <n v="279.5"/>
    <s v="Net Banking"/>
  </r>
  <r>
    <s v="ORD-00678"/>
    <x v="322"/>
    <s v="CUST-0011"/>
    <s v="Customer 0011"/>
    <s v="Corporate"/>
    <x v="0"/>
    <s v="Maharashtra"/>
    <s v="Mumbai"/>
    <x v="0"/>
    <s v="Tables"/>
    <x v="12"/>
    <n v="1"/>
    <n v="6423.99"/>
    <n v="0.2"/>
    <n v="5139.1899999999996"/>
    <n v="855.58"/>
    <s v="UPI"/>
  </r>
  <r>
    <s v="ORD-01477"/>
    <x v="323"/>
    <s v="CUST-0102"/>
    <s v="Customer 0102"/>
    <s v="Consumer"/>
    <x v="2"/>
    <s v="Rajasthan"/>
    <s v="Jaipur"/>
    <x v="2"/>
    <s v="Stationery"/>
    <x v="9"/>
    <n v="5"/>
    <n v="334.52"/>
    <n v="0.05"/>
    <n v="1588.97"/>
    <n v="516.61"/>
    <s v="Card"/>
  </r>
  <r>
    <s v="ORD-00562"/>
    <x v="323"/>
    <s v="CUST-0278"/>
    <s v="Customer 0278"/>
    <s v="Consumer"/>
    <x v="2"/>
    <s v="Rajasthan"/>
    <s v="Jaipur"/>
    <x v="2"/>
    <s v="Stationery"/>
    <x v="9"/>
    <n v="2"/>
    <n v="338.55"/>
    <n v="0.05"/>
    <n v="643.25"/>
    <n v="166.2"/>
    <s v="Cash"/>
  </r>
  <r>
    <s v="ORD-00385"/>
    <x v="323"/>
    <s v="CUST-0030"/>
    <s v="Customer 0030"/>
    <s v="Consumer"/>
    <x v="1"/>
    <s v="Tamil Nadu"/>
    <s v="Chennai"/>
    <x v="1"/>
    <s v="Accessories"/>
    <x v="3"/>
    <n v="3"/>
    <n v="1216.98"/>
    <n v="0"/>
    <n v="3650.94"/>
    <n v="424.88"/>
    <s v="Cash"/>
  </r>
  <r>
    <s v="ORD-01484"/>
    <x v="324"/>
    <s v="CUST-0074"/>
    <s v="Customer 0074"/>
    <s v="Small Business"/>
    <x v="0"/>
    <s v="Maharashtra"/>
    <s v="Mumbai"/>
    <x v="2"/>
    <s v="Stationery"/>
    <x v="13"/>
    <n v="2"/>
    <n v="607.37"/>
    <n v="0.1"/>
    <n v="1093.27"/>
    <n v="163.4"/>
    <s v="Cash"/>
  </r>
  <r>
    <s v="ORD-00931"/>
    <x v="324"/>
    <s v="CUST-0280"/>
    <s v="Customer 0280"/>
    <s v="Corporate"/>
    <x v="1"/>
    <s v="Telangana"/>
    <s v="Hyderabad"/>
    <x v="1"/>
    <s v="Accessories"/>
    <x v="3"/>
    <n v="5"/>
    <n v="1217"/>
    <n v="0"/>
    <n v="6085"/>
    <n v="1183.02"/>
    <s v="Net Banking"/>
  </r>
  <r>
    <s v="ORD-00740"/>
    <x v="324"/>
    <s v="CUST-0195"/>
    <s v="Customer 0195"/>
    <s v="Consumer"/>
    <x v="0"/>
    <s v="Gujarat"/>
    <s v="Ahmedabad"/>
    <x v="0"/>
    <s v="Tables"/>
    <x v="0"/>
    <n v="3"/>
    <n v="11774.04"/>
    <n v="0.1"/>
    <n v="31789.91"/>
    <n v="4388.67"/>
    <s v="Net Banking"/>
  </r>
  <r>
    <s v="ORD-00829"/>
    <x v="324"/>
    <s v="CUST-0279"/>
    <s v="Customer 0279"/>
    <s v="Small Business"/>
    <x v="2"/>
    <s v="Delhi"/>
    <s v="Delhi"/>
    <x v="2"/>
    <s v="Paper"/>
    <x v="6"/>
    <n v="4"/>
    <n v="455.88"/>
    <n v="0.05"/>
    <n v="1732.34"/>
    <n v="268.17"/>
    <s v="Net Banking"/>
  </r>
  <r>
    <s v="ORD-01291"/>
    <x v="324"/>
    <s v="CUST-0245"/>
    <s v="Customer 0245"/>
    <s v="Corporate"/>
    <x v="1"/>
    <s v="Telangana"/>
    <s v="Hyderabad"/>
    <x v="2"/>
    <s v="Storage"/>
    <x v="2"/>
    <n v="2"/>
    <n v="754.03"/>
    <n v="0.05"/>
    <n v="1432.66"/>
    <n v="463.55"/>
    <s v="UPI"/>
  </r>
  <r>
    <s v="ORD-00744"/>
    <x v="325"/>
    <s v="CUST-0040"/>
    <s v="Customer 0040"/>
    <s v="Consumer"/>
    <x v="2"/>
    <s v="Rajasthan"/>
    <s v="Jaipur"/>
    <x v="2"/>
    <s v="Storage"/>
    <x v="2"/>
    <n v="2"/>
    <n v="747.2"/>
    <n v="0.1"/>
    <n v="1344.96"/>
    <n v="399.19"/>
    <s v="Net Banking"/>
  </r>
  <r>
    <s v="ORD-00659"/>
    <x v="325"/>
    <s v="CUST-0196"/>
    <s v="Customer 0196"/>
    <s v="Consumer"/>
    <x v="1"/>
    <s v="Karnataka"/>
    <s v="Bengaluru"/>
    <x v="2"/>
    <s v="Storage"/>
    <x v="2"/>
    <n v="4"/>
    <n v="771.1"/>
    <n v="0.15"/>
    <n v="2621.74"/>
    <n v="331.96"/>
    <s v="Net Banking"/>
  </r>
  <r>
    <s v="ORD-01254"/>
    <x v="325"/>
    <s v="CUST-0137"/>
    <s v="Customer 0137"/>
    <s v="Small Business"/>
    <x v="3"/>
    <s v="West Bengal"/>
    <s v="Kolkata"/>
    <x v="2"/>
    <s v="Paper"/>
    <x v="6"/>
    <n v="1"/>
    <n v="444.09"/>
    <n v="0.2"/>
    <n v="355.27"/>
    <n v="34.659999999999997"/>
    <s v="UPI"/>
  </r>
  <r>
    <s v="ORD-00321"/>
    <x v="326"/>
    <s v="CUST-0215"/>
    <s v="Customer 0215"/>
    <s v="Corporate"/>
    <x v="1"/>
    <s v="Tamil Nadu"/>
    <s v="Chennai"/>
    <x v="2"/>
    <s v="Storage"/>
    <x v="2"/>
    <n v="2"/>
    <n v="776.44"/>
    <n v="0.15"/>
    <n v="1319.95"/>
    <n v="283.64999999999998"/>
    <s v="Card"/>
  </r>
  <r>
    <s v="ORD-01197"/>
    <x v="326"/>
    <s v="CUST-0069"/>
    <s v="Customer 0069"/>
    <s v="Corporate"/>
    <x v="2"/>
    <s v="Uttar Pradesh"/>
    <s v="Lucknow"/>
    <x v="2"/>
    <s v="Paper"/>
    <x v="6"/>
    <n v="1"/>
    <n v="452.94"/>
    <n v="0"/>
    <n v="452.94"/>
    <n v="92.41"/>
    <s v="Card"/>
  </r>
  <r>
    <s v="ORD-00344"/>
    <x v="326"/>
    <s v="CUST-0013"/>
    <s v="Customer 0013"/>
    <s v="Small Business"/>
    <x v="2"/>
    <s v="Uttar Pradesh"/>
    <s v="Lucknow"/>
    <x v="0"/>
    <s v="Chairs"/>
    <x v="7"/>
    <n v="4"/>
    <n v="8240.89"/>
    <n v="0.05"/>
    <n v="31315.38"/>
    <n v="5763.04"/>
    <s v="Net Banking"/>
  </r>
  <r>
    <s v="ORD-00280"/>
    <x v="326"/>
    <s v="CUST-0138"/>
    <s v="Customer 0138"/>
    <s v="Consumer"/>
    <x v="0"/>
    <s v="Maharashtra"/>
    <s v="Mumbai"/>
    <x v="0"/>
    <s v="Tables"/>
    <x v="12"/>
    <n v="1"/>
    <n v="6459.36"/>
    <n v="0"/>
    <n v="6459.36"/>
    <n v="1687.43"/>
    <s v="Card"/>
  </r>
  <r>
    <s v="ORD-01164"/>
    <x v="327"/>
    <s v="CUST-0115"/>
    <s v="Customer 0115"/>
    <s v="Consumer"/>
    <x v="0"/>
    <s v="Gujarat"/>
    <s v="Ahmedabad"/>
    <x v="1"/>
    <s v="Laptops"/>
    <x v="10"/>
    <n v="2"/>
    <n v="66455.899999999994"/>
    <n v="0.15"/>
    <n v="112975.03"/>
    <n v="15943.74"/>
    <s v="Net Banking"/>
  </r>
  <r>
    <s v="ORD-01487"/>
    <x v="327"/>
    <s v="CUST-0076"/>
    <s v="Customer 0076"/>
    <s v="Consumer"/>
    <x v="2"/>
    <s v="Rajasthan"/>
    <s v="Jaipur"/>
    <x v="2"/>
    <s v="Stationery"/>
    <x v="13"/>
    <n v="3"/>
    <n v="597.64"/>
    <n v="0.15"/>
    <n v="1523.98"/>
    <n v="167.92"/>
    <s v="UPI"/>
  </r>
  <r>
    <s v="ORD-00903"/>
    <x v="327"/>
    <s v="CUST-0066"/>
    <s v="Customer 0066"/>
    <s v="Small Business"/>
    <x v="1"/>
    <s v="Telangana"/>
    <s v="Hyderabad"/>
    <x v="1"/>
    <s v="Laptops"/>
    <x v="5"/>
    <n v="3"/>
    <n v="49347.77"/>
    <n v="0.1"/>
    <n v="133238.98000000001"/>
    <n v="12737.2"/>
    <s v="Net Banking"/>
  </r>
  <r>
    <s v="ORD-01369"/>
    <x v="328"/>
    <s v="CUST-0238"/>
    <s v="Customer 0238"/>
    <s v="Consumer"/>
    <x v="2"/>
    <s v="Rajasthan"/>
    <s v="Jaipur"/>
    <x v="1"/>
    <s v="Laptops"/>
    <x v="10"/>
    <n v="1"/>
    <n v="65475.38"/>
    <n v="0"/>
    <n v="65475.38"/>
    <n v="14198.1"/>
    <s v="Net Banking"/>
  </r>
  <r>
    <s v="ORD-01246"/>
    <x v="328"/>
    <s v="CUST-0219"/>
    <s v="Customer 0219"/>
    <s v="Consumer"/>
    <x v="2"/>
    <s v="Rajasthan"/>
    <s v="Jaipur"/>
    <x v="2"/>
    <s v="Paper"/>
    <x v="6"/>
    <n v="2"/>
    <n v="450.29"/>
    <n v="0"/>
    <n v="900.58"/>
    <n v="291.95"/>
    <s v="UPI"/>
  </r>
  <r>
    <s v="ORD-00457"/>
    <x v="328"/>
    <s v="CUST-0263"/>
    <s v="Customer 0263"/>
    <s v="Corporate"/>
    <x v="3"/>
    <s v="Odisha"/>
    <s v="Bhubaneswar"/>
    <x v="2"/>
    <s v="Paper"/>
    <x v="6"/>
    <n v="1"/>
    <n v="472.15"/>
    <n v="0.1"/>
    <n v="424.94"/>
    <n v="131.34"/>
    <s v="UPI"/>
  </r>
  <r>
    <s v="ORD-00693"/>
    <x v="328"/>
    <s v="CUST-0196"/>
    <s v="Customer 0196"/>
    <s v="Consumer"/>
    <x v="3"/>
    <s v="Bihar"/>
    <s v="Patna"/>
    <x v="0"/>
    <s v="Chairs"/>
    <x v="7"/>
    <n v="3"/>
    <n v="8880.2099999999991"/>
    <n v="0.2"/>
    <n v="21312.5"/>
    <n v="3245.19"/>
    <s v="UPI"/>
  </r>
  <r>
    <s v="ORD-01077"/>
    <x v="328"/>
    <s v="CUST-0010"/>
    <s v="Customer 0010"/>
    <s v="Corporate"/>
    <x v="0"/>
    <s v="Gujarat"/>
    <s v="Ahmedabad"/>
    <x v="2"/>
    <s v="Stationery"/>
    <x v="9"/>
    <n v="2"/>
    <n v="342.3"/>
    <n v="0.05"/>
    <n v="650.37"/>
    <n v="128.47999999999999"/>
    <s v="Cash"/>
  </r>
  <r>
    <s v="ORD-01383"/>
    <x v="329"/>
    <s v="CUST-0055"/>
    <s v="Customer 0055"/>
    <s v="Consumer"/>
    <x v="1"/>
    <s v="Telangana"/>
    <s v="Hyderabad"/>
    <x v="0"/>
    <s v="Storage"/>
    <x v="4"/>
    <n v="5"/>
    <n v="13840.12"/>
    <n v="0.2"/>
    <n v="55360.480000000003"/>
    <n v="3379.55"/>
    <s v="Card"/>
  </r>
  <r>
    <s v="ORD-00229"/>
    <x v="329"/>
    <s v="CUST-0073"/>
    <s v="Customer 0073"/>
    <s v="Consumer"/>
    <x v="1"/>
    <s v="Karnataka"/>
    <s v="Bengaluru"/>
    <x v="0"/>
    <s v="Chairs"/>
    <x v="7"/>
    <n v="3"/>
    <n v="8753.6200000000008"/>
    <n v="0.05"/>
    <n v="24947.82"/>
    <n v="5884.39"/>
    <s v="UPI"/>
  </r>
  <r>
    <s v="ORD-00055"/>
    <x v="329"/>
    <s v="CUST-0098"/>
    <s v="Customer 0098"/>
    <s v="Corporate"/>
    <x v="3"/>
    <s v="Odisha"/>
    <s v="Bhubaneswar"/>
    <x v="1"/>
    <s v="Accessories"/>
    <x v="8"/>
    <n v="2"/>
    <n v="1840.75"/>
    <n v="0"/>
    <n v="3681.5"/>
    <n v="576.67999999999995"/>
    <s v="Net Banking"/>
  </r>
  <r>
    <s v="ORD-00818"/>
    <x v="329"/>
    <s v="CUST-0245"/>
    <s v="Customer 0245"/>
    <s v="Small Business"/>
    <x v="3"/>
    <s v="West Bengal"/>
    <s v="Kolkata"/>
    <x v="0"/>
    <s v="Tables"/>
    <x v="0"/>
    <n v="1"/>
    <n v="12593.15"/>
    <n v="0.2"/>
    <n v="10074.52"/>
    <n v="1359.28"/>
    <s v="Cash"/>
  </r>
  <r>
    <s v="ORD-01013"/>
    <x v="329"/>
    <s v="CUST-0055"/>
    <s v="Customer 0055"/>
    <s v="Corporate"/>
    <x v="1"/>
    <s v="Karnataka"/>
    <s v="Bengaluru"/>
    <x v="0"/>
    <s v="Storage"/>
    <x v="4"/>
    <n v="1"/>
    <n v="14946.5"/>
    <n v="0.05"/>
    <n v="14199.17"/>
    <n v="1888.63"/>
    <s v="Cash"/>
  </r>
  <r>
    <s v="ORD-00770"/>
    <x v="330"/>
    <s v="CUST-0264"/>
    <s v="Customer 0264"/>
    <s v="Small Business"/>
    <x v="3"/>
    <s v="West Bengal"/>
    <s v="Kolkata"/>
    <x v="1"/>
    <s v="Accessories"/>
    <x v="8"/>
    <n v="3"/>
    <n v="1759.32"/>
    <n v="0"/>
    <n v="5277.96"/>
    <n v="654.88"/>
    <s v="Cash"/>
  </r>
  <r>
    <s v="ORD-00601"/>
    <x v="330"/>
    <s v="CUST-0041"/>
    <s v="Customer 0041"/>
    <s v="Consumer"/>
    <x v="0"/>
    <s v="Gujarat"/>
    <s v="Ahmedabad"/>
    <x v="1"/>
    <s v="Laptops"/>
    <x v="5"/>
    <n v="3"/>
    <n v="46013.45"/>
    <n v="0.1"/>
    <n v="124236.31"/>
    <n v="16223.27"/>
    <s v="Cash"/>
  </r>
  <r>
    <s v="ORD-01193"/>
    <x v="330"/>
    <s v="CUST-0233"/>
    <s v="Customer 0233"/>
    <s v="Consumer"/>
    <x v="2"/>
    <s v="Delhi"/>
    <s v="Delhi"/>
    <x v="0"/>
    <s v="Tables"/>
    <x v="12"/>
    <n v="4"/>
    <n v="6432.8"/>
    <n v="0"/>
    <n v="25731.200000000001"/>
    <n v="4611.05"/>
    <s v="UPI"/>
  </r>
  <r>
    <s v="ORD-00434"/>
    <x v="330"/>
    <s v="CUST-0226"/>
    <s v="Customer 0226"/>
    <s v="Corporate"/>
    <x v="1"/>
    <s v="Tamil Nadu"/>
    <s v="Chennai"/>
    <x v="2"/>
    <s v="Stationery"/>
    <x v="13"/>
    <n v="3"/>
    <n v="587.74"/>
    <n v="0.1"/>
    <n v="1586.9"/>
    <n v="290.33999999999997"/>
    <s v="Net Banking"/>
  </r>
  <r>
    <s v="ORD-00779"/>
    <x v="330"/>
    <s v="CUST-0265"/>
    <s v="Customer 0265"/>
    <s v="Corporate"/>
    <x v="3"/>
    <s v="Bihar"/>
    <s v="Patna"/>
    <x v="1"/>
    <s v="Laptops"/>
    <x v="10"/>
    <n v="4"/>
    <n v="65198.080000000002"/>
    <n v="0.05"/>
    <n v="247752.7"/>
    <n v="30369.200000000001"/>
    <s v="Net Banking"/>
  </r>
  <r>
    <s v="ORD-00594"/>
    <x v="331"/>
    <s v="CUST-0043"/>
    <s v="Customer 0043"/>
    <s v="Consumer"/>
    <x v="1"/>
    <s v="Karnataka"/>
    <s v="Bengaluru"/>
    <x v="1"/>
    <s v="Laptops"/>
    <x v="10"/>
    <n v="4"/>
    <n v="67485.66"/>
    <n v="0"/>
    <n v="269942.64"/>
    <n v="43200.28"/>
    <s v="Net Banking"/>
  </r>
  <r>
    <s v="ORD-01418"/>
    <x v="331"/>
    <s v="CUST-0062"/>
    <s v="Customer 0062"/>
    <s v="Corporate"/>
    <x v="1"/>
    <s v="Telangana"/>
    <s v="Hyderabad"/>
    <x v="1"/>
    <s v="Accessories"/>
    <x v="8"/>
    <n v="3"/>
    <n v="1822.47"/>
    <n v="0.1"/>
    <n v="4920.67"/>
    <n v="971.2"/>
    <s v="Net Banking"/>
  </r>
  <r>
    <s v="ORD-00478"/>
    <x v="331"/>
    <s v="CUST-0282"/>
    <s v="Customer 0282"/>
    <s v="Consumer"/>
    <x v="1"/>
    <s v="Tamil Nadu"/>
    <s v="Chennai"/>
    <x v="2"/>
    <s v="Stationery"/>
    <x v="9"/>
    <n v="2"/>
    <n v="333.27"/>
    <n v="0"/>
    <n v="666.54"/>
    <n v="147.69999999999999"/>
    <s v="Card"/>
  </r>
  <r>
    <s v="ORD-01161"/>
    <x v="331"/>
    <s v="CUST-0135"/>
    <s v="Customer 0135"/>
    <s v="Corporate"/>
    <x v="0"/>
    <s v="Gujarat"/>
    <s v="Ahmedabad"/>
    <x v="1"/>
    <s v="Laptops"/>
    <x v="5"/>
    <n v="1"/>
    <n v="47775.839999999997"/>
    <n v="0.15"/>
    <n v="40609.46"/>
    <n v="6624.18"/>
    <s v="Net Banking"/>
  </r>
  <r>
    <s v="ORD-00258"/>
    <x v="331"/>
    <s v="CUST-0054"/>
    <s v="Customer 0054"/>
    <s v="Consumer"/>
    <x v="0"/>
    <s v="Maharashtra"/>
    <s v="Mumbai"/>
    <x v="1"/>
    <s v="Accessories"/>
    <x v="8"/>
    <n v="1"/>
    <n v="1712.64"/>
    <n v="0.15"/>
    <n v="1455.74"/>
    <n v="153.47"/>
    <s v="Net Banking"/>
  </r>
  <r>
    <s v="ORD-00933"/>
    <x v="331"/>
    <s v="CUST-0228"/>
    <s v="Customer 0228"/>
    <s v="Corporate"/>
    <x v="0"/>
    <s v="Maharashtra"/>
    <s v="Pune"/>
    <x v="1"/>
    <s v="Accessories"/>
    <x v="3"/>
    <n v="5"/>
    <n v="1200.8900000000001"/>
    <n v="0"/>
    <n v="6004.45"/>
    <n v="756.85"/>
    <s v="Net Banking"/>
  </r>
  <r>
    <s v="ORD-01087"/>
    <x v="332"/>
    <s v="CUST-0242"/>
    <s v="Customer 0242"/>
    <s v="Consumer"/>
    <x v="2"/>
    <s v="Uttar Pradesh"/>
    <s v="Lucknow"/>
    <x v="0"/>
    <s v="Chairs"/>
    <x v="7"/>
    <n v="1"/>
    <n v="8082"/>
    <n v="0.2"/>
    <n v="6465.6"/>
    <n v="1492.06"/>
    <s v="Card"/>
  </r>
  <r>
    <s v="ORD-00473"/>
    <x v="332"/>
    <s v="CUST-0271"/>
    <s v="Customer 0271"/>
    <s v="Consumer"/>
    <x v="2"/>
    <s v="Delhi"/>
    <s v="Delhi"/>
    <x v="2"/>
    <s v="Stationery"/>
    <x v="13"/>
    <n v="4"/>
    <n v="599.24"/>
    <n v="0"/>
    <n v="2396.96"/>
    <n v="691"/>
    <s v="Net Banking"/>
  </r>
  <r>
    <s v="ORD-00419"/>
    <x v="333"/>
    <s v="CUST-0197"/>
    <s v="Customer 0197"/>
    <s v="Corporate"/>
    <x v="2"/>
    <s v="Delhi"/>
    <s v="Delhi"/>
    <x v="0"/>
    <s v="Chairs"/>
    <x v="7"/>
    <n v="2"/>
    <n v="8641.5400000000009"/>
    <n v="0"/>
    <n v="17283.080000000002"/>
    <n v="2295.4899999999998"/>
    <s v="Card"/>
  </r>
  <r>
    <s v="ORD-00315"/>
    <x v="333"/>
    <s v="CUST-0093"/>
    <s v="Customer 0093"/>
    <s v="Small Business"/>
    <x v="0"/>
    <s v="Maharashtra"/>
    <s v="Mumbai"/>
    <x v="0"/>
    <s v="Tables"/>
    <x v="0"/>
    <n v="4"/>
    <n v="11800.35"/>
    <n v="0.05"/>
    <n v="44841.33"/>
    <n v="10582.92"/>
    <s v="Cash"/>
  </r>
  <r>
    <s v="ORD-00777"/>
    <x v="334"/>
    <s v="CUST-0180"/>
    <s v="Customer 0180"/>
    <s v="Consumer"/>
    <x v="1"/>
    <s v="Telangana"/>
    <s v="Hyderabad"/>
    <x v="0"/>
    <s v="Chairs"/>
    <x v="7"/>
    <n v="2"/>
    <n v="8205.16"/>
    <n v="0.2"/>
    <n v="13128.26"/>
    <n v="1177.23"/>
    <s v="Card"/>
  </r>
  <r>
    <s v="ORD-00361"/>
    <x v="334"/>
    <s v="CUST-0087"/>
    <s v="Customer 0087"/>
    <s v="Consumer"/>
    <x v="3"/>
    <s v="Bihar"/>
    <s v="Patna"/>
    <x v="1"/>
    <s v="Phones"/>
    <x v="11"/>
    <n v="1"/>
    <n v="18413.48"/>
    <n v="0.05"/>
    <n v="17492.810000000001"/>
    <n v="3482.53"/>
    <s v="UPI"/>
  </r>
  <r>
    <s v="ORD-01380"/>
    <x v="334"/>
    <s v="CUST-0159"/>
    <s v="Customer 0159"/>
    <s v="Consumer"/>
    <x v="0"/>
    <s v="Gujarat"/>
    <s v="Ahmedabad"/>
    <x v="1"/>
    <s v="Laptops"/>
    <x v="10"/>
    <n v="2"/>
    <n v="64597.21"/>
    <n v="0.1"/>
    <n v="116274.98"/>
    <n v="18680.11"/>
    <s v="Cash"/>
  </r>
  <r>
    <s v="ORD-00773"/>
    <x v="334"/>
    <s v="CUST-0202"/>
    <s v="Customer 0202"/>
    <s v="Consumer"/>
    <x v="1"/>
    <s v="Karnataka"/>
    <s v="Bengaluru"/>
    <x v="2"/>
    <s v="Paper"/>
    <x v="6"/>
    <n v="1"/>
    <n v="447.95"/>
    <n v="0.1"/>
    <n v="403.15"/>
    <n v="114.37"/>
    <s v="UPI"/>
  </r>
  <r>
    <s v="ORD-00803"/>
    <x v="335"/>
    <s v="CUST-0069"/>
    <s v="Customer 0069"/>
    <s v="Small Business"/>
    <x v="1"/>
    <s v="Tamil Nadu"/>
    <s v="Chennai"/>
    <x v="0"/>
    <s v="Storage"/>
    <x v="4"/>
    <n v="2"/>
    <n v="14445.56"/>
    <n v="0.15"/>
    <n v="24557.45"/>
    <n v="5827.87"/>
    <s v="UPI"/>
  </r>
  <r>
    <s v="ORD-01155"/>
    <x v="335"/>
    <s v="CUST-0084"/>
    <s v="Customer 0084"/>
    <s v="Consumer"/>
    <x v="1"/>
    <s v="Tamil Nadu"/>
    <s v="Chennai"/>
    <x v="1"/>
    <s v="Accessories"/>
    <x v="8"/>
    <n v="1"/>
    <n v="1710.67"/>
    <n v="0"/>
    <n v="1710.67"/>
    <n v="264.3"/>
    <s v="UPI"/>
  </r>
  <r>
    <s v="ORD-01100"/>
    <x v="335"/>
    <s v="CUST-0078"/>
    <s v="Customer 0078"/>
    <s v="Consumer"/>
    <x v="3"/>
    <s v="Odisha"/>
    <s v="Bhubaneswar"/>
    <x v="0"/>
    <s v="Tables"/>
    <x v="0"/>
    <n v="2"/>
    <n v="12510.65"/>
    <n v="0.05"/>
    <n v="23770.23"/>
    <n v="3937.29"/>
    <s v="Cash"/>
  </r>
  <r>
    <s v="ORD-01329"/>
    <x v="335"/>
    <s v="CUST-0234"/>
    <s v="Customer 0234"/>
    <s v="Consumer"/>
    <x v="2"/>
    <s v="Uttar Pradesh"/>
    <s v="Lucknow"/>
    <x v="1"/>
    <s v="Phones"/>
    <x v="1"/>
    <n v="1"/>
    <n v="41695.949999999997"/>
    <n v="0.15"/>
    <n v="35441.56"/>
    <n v="5325.97"/>
    <s v="Cash"/>
  </r>
  <r>
    <s v="ORD-00138"/>
    <x v="335"/>
    <s v="CUST-0294"/>
    <s v="Customer 0294"/>
    <s v="Consumer"/>
    <x v="1"/>
    <s v="Tamil Nadu"/>
    <s v="Chennai"/>
    <x v="0"/>
    <s v="Chairs"/>
    <x v="7"/>
    <n v="1"/>
    <n v="8673.98"/>
    <n v="0.05"/>
    <n v="8240.2800000000007"/>
    <n v="1144.4000000000001"/>
    <s v="UPI"/>
  </r>
  <r>
    <s v="ORD-00921"/>
    <x v="335"/>
    <s v="CUST-0146"/>
    <s v="Customer 0146"/>
    <s v="Consumer"/>
    <x v="1"/>
    <s v="Telangana"/>
    <s v="Hyderabad"/>
    <x v="1"/>
    <s v="Laptops"/>
    <x v="10"/>
    <n v="4"/>
    <n v="65926.460000000006"/>
    <n v="0"/>
    <n v="263705.84000000003"/>
    <n v="31253.86"/>
    <s v="Card"/>
  </r>
  <r>
    <s v="ORD-00874"/>
    <x v="336"/>
    <s v="CUST-0194"/>
    <s v="Customer 0194"/>
    <s v="Consumer"/>
    <x v="1"/>
    <s v="Telangana"/>
    <s v="Hyderabad"/>
    <x v="1"/>
    <s v="Accessories"/>
    <x v="8"/>
    <n v="4"/>
    <n v="1864.38"/>
    <n v="0.05"/>
    <n v="7084.64"/>
    <n v="749.85"/>
    <s v="Cash"/>
  </r>
  <r>
    <s v="ORD-00890"/>
    <x v="336"/>
    <s v="CUST-0107"/>
    <s v="Customer 0107"/>
    <s v="Consumer"/>
    <x v="2"/>
    <s v="Uttar Pradesh"/>
    <s v="Lucknow"/>
    <x v="2"/>
    <s v="Paper"/>
    <x v="6"/>
    <n v="2"/>
    <n v="433.19"/>
    <n v="0.05"/>
    <n v="823.06"/>
    <n v="187.42"/>
    <s v="Cash"/>
  </r>
  <r>
    <s v="ORD-00807"/>
    <x v="337"/>
    <s v="CUST-0158"/>
    <s v="Customer 0158"/>
    <s v="Consumer"/>
    <x v="0"/>
    <s v="Gujarat"/>
    <s v="Ahmedabad"/>
    <x v="1"/>
    <s v="Laptops"/>
    <x v="5"/>
    <n v="1"/>
    <n v="46370.9"/>
    <n v="0.1"/>
    <n v="41733.81"/>
    <n v="4573.88"/>
    <s v="Net Banking"/>
  </r>
  <r>
    <s v="ORD-01256"/>
    <x v="337"/>
    <s v="CUST-0107"/>
    <s v="Customer 0107"/>
    <s v="Corporate"/>
    <x v="0"/>
    <s v="Maharashtra"/>
    <s v="Pune"/>
    <x v="1"/>
    <s v="Laptops"/>
    <x v="5"/>
    <n v="2"/>
    <n v="47676.36"/>
    <n v="0"/>
    <n v="95352.72"/>
    <n v="11037.19"/>
    <s v="UPI"/>
  </r>
  <r>
    <s v="ORD-00505"/>
    <x v="337"/>
    <s v="CUST-0242"/>
    <s v="Customer 0242"/>
    <s v="Consumer"/>
    <x v="0"/>
    <s v="Maharashtra"/>
    <s v="Pune"/>
    <x v="0"/>
    <s v="Tables"/>
    <x v="12"/>
    <n v="1"/>
    <n v="6446.16"/>
    <n v="0.1"/>
    <n v="5801.54"/>
    <n v="1423.35"/>
    <s v="Card"/>
  </r>
  <r>
    <s v="ORD-00489"/>
    <x v="337"/>
    <s v="CUST-0110"/>
    <s v="Customer 0110"/>
    <s v="Small Business"/>
    <x v="2"/>
    <s v="Uttar Pradesh"/>
    <s v="Lucknow"/>
    <x v="2"/>
    <s v="Paper"/>
    <x v="6"/>
    <n v="2"/>
    <n v="448.48"/>
    <n v="0.2"/>
    <n v="717.57"/>
    <n v="192.5"/>
    <s v="UPI"/>
  </r>
  <r>
    <s v="ORD-00863"/>
    <x v="337"/>
    <s v="CUST-0280"/>
    <s v="Customer 0280"/>
    <s v="Corporate"/>
    <x v="0"/>
    <s v="Maharashtra"/>
    <s v="Mumbai"/>
    <x v="0"/>
    <s v="Storage"/>
    <x v="4"/>
    <n v="3"/>
    <n v="13813.57"/>
    <n v="0.15"/>
    <n v="35224.6"/>
    <n v="6582.86"/>
    <s v="Card"/>
  </r>
  <r>
    <s v="ORD-00610"/>
    <x v="337"/>
    <s v="CUST-0056"/>
    <s v="Customer 0056"/>
    <s v="Corporate"/>
    <x v="1"/>
    <s v="Tamil Nadu"/>
    <s v="Chennai"/>
    <x v="0"/>
    <s v="Storage"/>
    <x v="4"/>
    <n v="4"/>
    <n v="13927.57"/>
    <n v="0.1"/>
    <n v="50139.25"/>
    <n v="10109.950000000001"/>
    <s v="Net Banking"/>
  </r>
  <r>
    <s v="ORD-00952"/>
    <x v="338"/>
    <s v="CUST-0083"/>
    <s v="Customer 0083"/>
    <s v="Corporate"/>
    <x v="1"/>
    <s v="Tamil Nadu"/>
    <s v="Chennai"/>
    <x v="0"/>
    <s v="Tables"/>
    <x v="12"/>
    <n v="1"/>
    <n v="6497.6"/>
    <n v="0.05"/>
    <n v="6172.72"/>
    <n v="1062.99"/>
    <s v="Card"/>
  </r>
  <r>
    <s v="ORD-01276"/>
    <x v="338"/>
    <s v="CUST-0151"/>
    <s v="Customer 0151"/>
    <s v="Small Business"/>
    <x v="2"/>
    <s v="Uttar Pradesh"/>
    <s v="Lucknow"/>
    <x v="2"/>
    <s v="Paper"/>
    <x v="6"/>
    <n v="2"/>
    <n v="460.19"/>
    <n v="0"/>
    <n v="920.38"/>
    <n v="176.25"/>
    <s v="UPI"/>
  </r>
  <r>
    <s v="ORD-00400"/>
    <x v="338"/>
    <s v="CUST-0219"/>
    <s v="Customer 0219"/>
    <s v="Consumer"/>
    <x v="3"/>
    <s v="Bihar"/>
    <s v="Patna"/>
    <x v="1"/>
    <s v="Accessories"/>
    <x v="8"/>
    <n v="1"/>
    <n v="1727.4"/>
    <n v="0.05"/>
    <n v="1641.03"/>
    <n v="143.47"/>
    <s v="Cash"/>
  </r>
  <r>
    <s v="ORD-00105"/>
    <x v="338"/>
    <s v="CUST-0140"/>
    <s v="Customer 0140"/>
    <s v="Small Business"/>
    <x v="2"/>
    <s v="Rajasthan"/>
    <s v="Jaipur"/>
    <x v="0"/>
    <s v="Tables"/>
    <x v="12"/>
    <n v="3"/>
    <n v="6557.56"/>
    <n v="0.05"/>
    <n v="18689.05"/>
    <n v="4880.09"/>
    <s v="Cash"/>
  </r>
  <r>
    <s v="ORD-00679"/>
    <x v="339"/>
    <s v="CUST-0279"/>
    <s v="Customer 0279"/>
    <s v="Consumer"/>
    <x v="0"/>
    <s v="Gujarat"/>
    <s v="Ahmedabad"/>
    <x v="1"/>
    <s v="Phones"/>
    <x v="1"/>
    <n v="2"/>
    <n v="41811.519999999997"/>
    <n v="0.15"/>
    <n v="71079.58"/>
    <n v="9075.34"/>
    <s v="Net Banking"/>
  </r>
  <r>
    <s v="ORD-00363"/>
    <x v="339"/>
    <s v="CUST-0091"/>
    <s v="Customer 0091"/>
    <s v="Small Business"/>
    <x v="2"/>
    <s v="Uttar Pradesh"/>
    <s v="Lucknow"/>
    <x v="0"/>
    <s v="Chairs"/>
    <x v="7"/>
    <n v="4"/>
    <n v="8633.48"/>
    <n v="0.1"/>
    <n v="31080.53"/>
    <n v="7576"/>
    <s v="Net Banking"/>
  </r>
  <r>
    <s v="ORD-00293"/>
    <x v="339"/>
    <s v="CUST-0082"/>
    <s v="Customer 0082"/>
    <s v="Corporate"/>
    <x v="0"/>
    <s v="Maharashtra"/>
    <s v="Pune"/>
    <x v="0"/>
    <s v="Tables"/>
    <x v="12"/>
    <n v="2"/>
    <n v="6433.45"/>
    <n v="0.05"/>
    <n v="12223.55"/>
    <n v="1891.2"/>
    <s v="Cash"/>
  </r>
  <r>
    <s v="ORD-00672"/>
    <x v="339"/>
    <s v="CUST-0150"/>
    <s v="Customer 0150"/>
    <s v="Consumer"/>
    <x v="2"/>
    <s v="Uttar Pradesh"/>
    <s v="Lucknow"/>
    <x v="1"/>
    <s v="Laptops"/>
    <x v="5"/>
    <n v="4"/>
    <n v="49644.17"/>
    <n v="0.15"/>
    <n v="168790.18"/>
    <n v="15418.11"/>
    <s v="Net Banking"/>
  </r>
  <r>
    <s v="ORD-00840"/>
    <x v="339"/>
    <s v="CUST-0048"/>
    <s v="Customer 0048"/>
    <s v="Consumer"/>
    <x v="1"/>
    <s v="Tamil Nadu"/>
    <s v="Chennai"/>
    <x v="2"/>
    <s v="Paper"/>
    <x v="6"/>
    <n v="4"/>
    <n v="451.14"/>
    <n v="0.15"/>
    <n v="1533.88"/>
    <n v="368.4"/>
    <s v="Net Banking"/>
  </r>
  <r>
    <s v="ORD-00259"/>
    <x v="340"/>
    <s v="CUST-0111"/>
    <s v="Customer 0111"/>
    <s v="Consumer"/>
    <x v="3"/>
    <s v="Bihar"/>
    <s v="Patna"/>
    <x v="0"/>
    <s v="Tables"/>
    <x v="12"/>
    <n v="4"/>
    <n v="6646.16"/>
    <n v="0.05"/>
    <n v="25255.41"/>
    <n v="6437.68"/>
    <s v="Card"/>
  </r>
  <r>
    <s v="ORD-00380"/>
    <x v="340"/>
    <s v="CUST-0121"/>
    <s v="Customer 0121"/>
    <s v="Consumer"/>
    <x v="1"/>
    <s v="Tamil Nadu"/>
    <s v="Chennai"/>
    <x v="2"/>
    <s v="Stationery"/>
    <x v="9"/>
    <n v="1"/>
    <n v="352.59"/>
    <n v="0"/>
    <n v="352.59"/>
    <n v="80.59"/>
    <s v="Net Banking"/>
  </r>
  <r>
    <s v="ORD-01027"/>
    <x v="340"/>
    <s v="CUST-0252"/>
    <s v="Customer 0252"/>
    <s v="Consumer"/>
    <x v="1"/>
    <s v="Karnataka"/>
    <s v="Bengaluru"/>
    <x v="0"/>
    <s v="Chairs"/>
    <x v="7"/>
    <n v="4"/>
    <n v="8533"/>
    <n v="0.05"/>
    <n v="32425.4"/>
    <n v="5814.46"/>
    <s v="Card"/>
  </r>
  <r>
    <s v="ORD-01261"/>
    <x v="340"/>
    <s v="CUST-0287"/>
    <s v="Customer 0287"/>
    <s v="Small Business"/>
    <x v="3"/>
    <s v="Odisha"/>
    <s v="Bhubaneswar"/>
    <x v="1"/>
    <s v="Phones"/>
    <x v="11"/>
    <n v="1"/>
    <n v="17556.22"/>
    <n v="0.1"/>
    <n v="15800.6"/>
    <n v="1818.79"/>
    <s v="Net Banking"/>
  </r>
  <r>
    <s v="ORD-01318"/>
    <x v="340"/>
    <s v="CUST-0008"/>
    <s v="Customer 0008"/>
    <s v="Corporate"/>
    <x v="1"/>
    <s v="Telangana"/>
    <s v="Hyderabad"/>
    <x v="0"/>
    <s v="Tables"/>
    <x v="12"/>
    <n v="5"/>
    <n v="6776.94"/>
    <n v="0.15"/>
    <n v="28801.99"/>
    <n v="6037.8"/>
    <s v="Card"/>
  </r>
  <r>
    <s v="ORD-00901"/>
    <x v="340"/>
    <s v="CUST-0129"/>
    <s v="Customer 0129"/>
    <s v="Consumer"/>
    <x v="1"/>
    <s v="Telangana"/>
    <s v="Hyderabad"/>
    <x v="1"/>
    <s v="Phones"/>
    <x v="11"/>
    <n v="2"/>
    <n v="18109.46"/>
    <n v="0.05"/>
    <n v="34407.97"/>
    <n v="3327.24"/>
    <s v="Net Banking"/>
  </r>
  <r>
    <s v="ORD-00080"/>
    <x v="341"/>
    <s v="CUST-0154"/>
    <s v="Customer 0154"/>
    <s v="Consumer"/>
    <x v="2"/>
    <s v="Delhi"/>
    <s v="Delhi"/>
    <x v="1"/>
    <s v="Accessories"/>
    <x v="3"/>
    <n v="2"/>
    <n v="1250.3800000000001"/>
    <n v="0.1"/>
    <n v="2250.6799999999998"/>
    <n v="247.16"/>
    <s v="UPI"/>
  </r>
  <r>
    <s v="ORD-01059"/>
    <x v="341"/>
    <s v="CUST-0095"/>
    <s v="Customer 0095"/>
    <s v="Consumer"/>
    <x v="3"/>
    <s v="West Bengal"/>
    <s v="Kolkata"/>
    <x v="2"/>
    <s v="Paper"/>
    <x v="6"/>
    <n v="1"/>
    <n v="466.65"/>
    <n v="0"/>
    <n v="466.65"/>
    <n v="133.31"/>
    <s v="Net Banking"/>
  </r>
  <r>
    <s v="ORD-01032"/>
    <x v="341"/>
    <s v="CUST-0048"/>
    <s v="Customer 0048"/>
    <s v="Consumer"/>
    <x v="2"/>
    <s v="Delhi"/>
    <s v="Delhi"/>
    <x v="0"/>
    <s v="Chairs"/>
    <x v="7"/>
    <n v="4"/>
    <n v="8693.66"/>
    <n v="0.05"/>
    <n v="33035.910000000003"/>
    <n v="4023.23"/>
    <s v="UPI"/>
  </r>
  <r>
    <s v="ORD-00157"/>
    <x v="342"/>
    <s v="CUST-0055"/>
    <s v="Customer 0055"/>
    <s v="Corporate"/>
    <x v="1"/>
    <s v="Tamil Nadu"/>
    <s v="Chennai"/>
    <x v="0"/>
    <s v="Tables"/>
    <x v="12"/>
    <n v="1"/>
    <n v="6692.04"/>
    <n v="0.1"/>
    <n v="6022.84"/>
    <n v="1520.66"/>
    <s v="Cash"/>
  </r>
  <r>
    <s v="ORD-00729"/>
    <x v="342"/>
    <s v="CUST-0019"/>
    <s v="Customer 0019"/>
    <s v="Small Business"/>
    <x v="3"/>
    <s v="Odisha"/>
    <s v="Bhubaneswar"/>
    <x v="1"/>
    <s v="Laptops"/>
    <x v="5"/>
    <n v="2"/>
    <n v="47030.59"/>
    <n v="0.1"/>
    <n v="84655.06"/>
    <n v="10336.299999999999"/>
    <s v="UPI"/>
  </r>
  <r>
    <s v="ORD-00110"/>
    <x v="343"/>
    <s v="CUST-0037"/>
    <s v="Customer 0037"/>
    <s v="Consumer"/>
    <x v="0"/>
    <s v="Maharashtra"/>
    <s v="Pune"/>
    <x v="1"/>
    <s v="Laptops"/>
    <x v="5"/>
    <n v="3"/>
    <n v="49685.79"/>
    <n v="0"/>
    <n v="149057.37"/>
    <n v="22257.32"/>
    <s v="Cash"/>
  </r>
  <r>
    <s v="ORD-00958"/>
    <x v="343"/>
    <s v="CUST-0255"/>
    <s v="Customer 0255"/>
    <s v="Consumer"/>
    <x v="3"/>
    <s v="Odisha"/>
    <s v="Bhubaneswar"/>
    <x v="0"/>
    <s v="Chairs"/>
    <x v="7"/>
    <n v="3"/>
    <n v="8145.32"/>
    <n v="0.1"/>
    <n v="21992.36"/>
    <n v="4946.29"/>
    <s v="Net Banking"/>
  </r>
  <r>
    <s v="ORD-00016"/>
    <x v="343"/>
    <s v="CUST-0255"/>
    <s v="Customer 0255"/>
    <s v="Small Business"/>
    <x v="0"/>
    <s v="Gujarat"/>
    <s v="Ahmedabad"/>
    <x v="1"/>
    <s v="Laptops"/>
    <x v="10"/>
    <n v="2"/>
    <n v="64342.36"/>
    <n v="0.2"/>
    <n v="102947.78"/>
    <n v="8636.42"/>
    <s v="Cash"/>
  </r>
  <r>
    <s v="ORD-00977"/>
    <x v="343"/>
    <s v="CUST-0084"/>
    <s v="Customer 0084"/>
    <s v="Corporate"/>
    <x v="2"/>
    <s v="Delhi"/>
    <s v="Delhi"/>
    <x v="0"/>
    <s v="Storage"/>
    <x v="4"/>
    <n v="1"/>
    <n v="14192.57"/>
    <n v="0.05"/>
    <n v="13482.94"/>
    <n v="3378.26"/>
    <s v="Net Banking"/>
  </r>
  <r>
    <s v="ORD-00823"/>
    <x v="343"/>
    <s v="CUST-0007"/>
    <s v="Customer 0007"/>
    <s v="Consumer"/>
    <x v="3"/>
    <s v="Bihar"/>
    <s v="Patna"/>
    <x v="0"/>
    <s v="Tables"/>
    <x v="0"/>
    <n v="3"/>
    <n v="12414.85"/>
    <n v="0.15"/>
    <n v="31657.87"/>
    <n v="2758.41"/>
    <s v="UPI"/>
  </r>
  <r>
    <s v="ORD-01481"/>
    <x v="344"/>
    <s v="CUST-0034"/>
    <s v="Customer 0034"/>
    <s v="Corporate"/>
    <x v="3"/>
    <s v="Odisha"/>
    <s v="Bhubaneswar"/>
    <x v="1"/>
    <s v="Laptops"/>
    <x v="10"/>
    <n v="1"/>
    <n v="62709.120000000003"/>
    <n v="0.15"/>
    <n v="53302.75"/>
    <n v="5418.21"/>
    <s v="Cash"/>
  </r>
  <r>
    <s v="ORD-00374"/>
    <x v="344"/>
    <s v="CUST-0230"/>
    <s v="Customer 0230"/>
    <s v="Consumer"/>
    <x v="1"/>
    <s v="Telangana"/>
    <s v="Hyderabad"/>
    <x v="0"/>
    <s v="Storage"/>
    <x v="4"/>
    <n v="3"/>
    <n v="14835.67"/>
    <n v="0.05"/>
    <n v="42281.66"/>
    <n v="10362.6"/>
    <s v="Card"/>
  </r>
  <r>
    <s v="ORD-00147"/>
    <x v="344"/>
    <s v="CUST-0291"/>
    <s v="Customer 0291"/>
    <s v="Corporate"/>
    <x v="1"/>
    <s v="Telangana"/>
    <s v="Hyderabad"/>
    <x v="2"/>
    <s v="Stationery"/>
    <x v="9"/>
    <n v="1"/>
    <n v="346.5"/>
    <n v="0.1"/>
    <n v="311.85000000000002"/>
    <n v="98.16"/>
    <s v="Cash"/>
  </r>
  <r>
    <s v="ORD-00174"/>
    <x v="344"/>
    <s v="CUST-0228"/>
    <s v="Customer 0228"/>
    <s v="Consumer"/>
    <x v="1"/>
    <s v="Tamil Nadu"/>
    <s v="Chennai"/>
    <x v="0"/>
    <s v="Storage"/>
    <x v="4"/>
    <n v="3"/>
    <n v="14043.53"/>
    <n v="0.1"/>
    <n v="37917.53"/>
    <n v="5133.9399999999996"/>
    <s v="Card"/>
  </r>
  <r>
    <s v="ORD-01314"/>
    <x v="345"/>
    <s v="CUST-0218"/>
    <s v="Customer 0218"/>
    <s v="Corporate"/>
    <x v="3"/>
    <s v="Bihar"/>
    <s v="Patna"/>
    <x v="0"/>
    <s v="Tables"/>
    <x v="0"/>
    <n v="1"/>
    <n v="11901.41"/>
    <n v="0.15"/>
    <n v="10116.200000000001"/>
    <n v="1959.94"/>
    <s v="Net Banking"/>
  </r>
  <r>
    <s v="ORD-00360"/>
    <x v="345"/>
    <s v="CUST-0283"/>
    <s v="Customer 0283"/>
    <s v="Consumer"/>
    <x v="2"/>
    <s v="Delhi"/>
    <s v="Delhi"/>
    <x v="1"/>
    <s v="Phones"/>
    <x v="1"/>
    <n v="1"/>
    <n v="42686.8"/>
    <n v="0"/>
    <n v="42686.8"/>
    <n v="5872.32"/>
    <s v="Card"/>
  </r>
  <r>
    <s v="ORD-01022"/>
    <x v="345"/>
    <s v="CUST-0036"/>
    <s v="Customer 0036"/>
    <s v="Corporate"/>
    <x v="2"/>
    <s v="Rajasthan"/>
    <s v="Jaipur"/>
    <x v="2"/>
    <s v="Paper"/>
    <x v="6"/>
    <n v="1"/>
    <n v="442.6"/>
    <n v="0.2"/>
    <n v="354.08"/>
    <n v="52.71"/>
    <s v="Card"/>
  </r>
  <r>
    <s v="ORD-01435"/>
    <x v="346"/>
    <s v="CUST-0160"/>
    <s v="Customer 0160"/>
    <s v="Consumer"/>
    <x v="1"/>
    <s v="Tamil Nadu"/>
    <s v="Chennai"/>
    <x v="2"/>
    <s v="Stationery"/>
    <x v="9"/>
    <n v="1"/>
    <n v="352.26"/>
    <n v="0.05"/>
    <n v="334.65"/>
    <n v="51.47"/>
    <s v="Cash"/>
  </r>
  <r>
    <s v="ORD-00114"/>
    <x v="346"/>
    <s v="CUST-0074"/>
    <s v="Customer 0074"/>
    <s v="Consumer"/>
    <x v="1"/>
    <s v="Karnataka"/>
    <s v="Bengaluru"/>
    <x v="1"/>
    <s v="Phones"/>
    <x v="1"/>
    <n v="4"/>
    <n v="40653.89"/>
    <n v="0.05"/>
    <n v="154484.78"/>
    <n v="26364.02"/>
    <s v="Net Banking"/>
  </r>
  <r>
    <s v="ORD-01065"/>
    <x v="346"/>
    <s v="CUST-0041"/>
    <s v="Customer 0041"/>
    <s v="Consumer"/>
    <x v="0"/>
    <s v="Maharashtra"/>
    <s v="Pune"/>
    <x v="0"/>
    <s v="Chairs"/>
    <x v="7"/>
    <n v="2"/>
    <n v="8218.1299999999992"/>
    <n v="0.15"/>
    <n v="13970.82"/>
    <n v="2789.9"/>
    <s v="UPI"/>
  </r>
  <r>
    <s v="ORD-00449"/>
    <x v="346"/>
    <s v="CUST-0027"/>
    <s v="Customer 0027"/>
    <s v="Corporate"/>
    <x v="3"/>
    <s v="Bihar"/>
    <s v="Patna"/>
    <x v="1"/>
    <s v="Accessories"/>
    <x v="8"/>
    <n v="2"/>
    <n v="1754.78"/>
    <n v="0.05"/>
    <n v="3334.08"/>
    <n v="677.35"/>
    <s v="UPI"/>
  </r>
  <r>
    <s v="ORD-00488"/>
    <x v="346"/>
    <s v="CUST-0070"/>
    <s v="Customer 0070"/>
    <s v="Corporate"/>
    <x v="1"/>
    <s v="Karnataka"/>
    <s v="Bengaluru"/>
    <x v="0"/>
    <s v="Tables"/>
    <x v="0"/>
    <n v="1"/>
    <n v="11914.98"/>
    <n v="0.05"/>
    <n v="11319.23"/>
    <n v="1422.33"/>
    <s v="Net Banking"/>
  </r>
  <r>
    <s v="ORD-00239"/>
    <x v="346"/>
    <s v="CUST-0184"/>
    <s v="Customer 0184"/>
    <s v="Consumer"/>
    <x v="0"/>
    <s v="Maharashtra"/>
    <s v="Mumbai"/>
    <x v="1"/>
    <s v="Laptops"/>
    <x v="10"/>
    <n v="4"/>
    <n v="62717.17"/>
    <n v="0.2"/>
    <n v="200694.94"/>
    <n v="15197.67"/>
    <s v="Card"/>
  </r>
  <r>
    <s v="ORD-00470"/>
    <x v="346"/>
    <s v="CUST-0166"/>
    <s v="Customer 0166"/>
    <s v="Consumer"/>
    <x v="0"/>
    <s v="Gujarat"/>
    <s v="Ahmedabad"/>
    <x v="1"/>
    <s v="Accessories"/>
    <x v="3"/>
    <n v="2"/>
    <n v="1205.28"/>
    <n v="0"/>
    <n v="2410.56"/>
    <n v="271"/>
    <s v="UPI"/>
  </r>
  <r>
    <s v="ORD-01189"/>
    <x v="347"/>
    <s v="CUST-0128"/>
    <s v="Customer 0128"/>
    <s v="Corporate"/>
    <x v="0"/>
    <s v="Maharashtra"/>
    <s v="Pune"/>
    <x v="1"/>
    <s v="Phones"/>
    <x v="1"/>
    <n v="3"/>
    <n v="40335.14"/>
    <n v="0"/>
    <n v="121005.42"/>
    <n v="11858.79"/>
    <s v="Cash"/>
  </r>
  <r>
    <s v="ORD-00221"/>
    <x v="347"/>
    <s v="CUST-0237"/>
    <s v="Customer 0237"/>
    <s v="Consumer"/>
    <x v="1"/>
    <s v="Tamil Nadu"/>
    <s v="Chennai"/>
    <x v="1"/>
    <s v="Phones"/>
    <x v="1"/>
    <n v="2"/>
    <n v="43487.37"/>
    <n v="0.1"/>
    <n v="78277.27"/>
    <n v="4391.09"/>
    <s v="Card"/>
  </r>
  <r>
    <s v="ORD-01162"/>
    <x v="347"/>
    <s v="CUST-0296"/>
    <s v="Customer 0296"/>
    <s v="Consumer"/>
    <x v="0"/>
    <s v="Maharashtra"/>
    <s v="Pune"/>
    <x v="1"/>
    <s v="Accessories"/>
    <x v="3"/>
    <n v="3"/>
    <n v="1229.94"/>
    <n v="0.15"/>
    <n v="3136.35"/>
    <n v="332.38"/>
    <s v="Net Banking"/>
  </r>
  <r>
    <s v="ORD-00816"/>
    <x v="347"/>
    <s v="CUST-0300"/>
    <s v="Customer 0300"/>
    <s v="Consumer"/>
    <x v="1"/>
    <s v="Telangana"/>
    <s v="Hyderabad"/>
    <x v="1"/>
    <s v="Phones"/>
    <x v="1"/>
    <n v="2"/>
    <n v="43567.67"/>
    <n v="0"/>
    <n v="87135.34"/>
    <n v="15570"/>
    <s v="Card"/>
  </r>
  <r>
    <s v="ORD-00398"/>
    <x v="347"/>
    <s v="CUST-0044"/>
    <s v="Customer 0044"/>
    <s v="Corporate"/>
    <x v="2"/>
    <s v="Delhi"/>
    <s v="Delhi"/>
    <x v="1"/>
    <s v="Accessories"/>
    <x v="8"/>
    <n v="1"/>
    <n v="1841.21"/>
    <n v="0.05"/>
    <n v="1749.15"/>
    <n v="319.56"/>
    <s v="UPI"/>
  </r>
  <r>
    <s v="ORD-00511"/>
    <x v="347"/>
    <s v="CUST-0182"/>
    <s v="Customer 0182"/>
    <s v="Small Business"/>
    <x v="3"/>
    <s v="Odisha"/>
    <s v="Bhubaneswar"/>
    <x v="0"/>
    <s v="Chairs"/>
    <x v="7"/>
    <n v="1"/>
    <n v="8350.68"/>
    <n v="0.05"/>
    <n v="7933.15"/>
    <n v="2039.2"/>
    <s v="UPI"/>
  </r>
  <r>
    <s v="ORD-00561"/>
    <x v="348"/>
    <s v="CUST-0053"/>
    <s v="Customer 0053"/>
    <s v="Consumer"/>
    <x v="2"/>
    <s v="Delhi"/>
    <s v="Delhi"/>
    <x v="0"/>
    <s v="Storage"/>
    <x v="4"/>
    <n v="2"/>
    <n v="14954.73"/>
    <n v="0.15"/>
    <n v="25423.040000000001"/>
    <n v="5340.43"/>
    <s v="Card"/>
  </r>
  <r>
    <s v="ORD-00182"/>
    <x v="348"/>
    <s v="CUST-0144"/>
    <s v="Customer 0144"/>
    <s v="Small Business"/>
    <x v="1"/>
    <s v="Tamil Nadu"/>
    <s v="Chennai"/>
    <x v="2"/>
    <s v="Paper"/>
    <x v="6"/>
    <n v="3"/>
    <n v="440.01"/>
    <n v="0.15"/>
    <n v="1122.03"/>
    <n v="157.97999999999999"/>
    <s v="Cash"/>
  </r>
  <r>
    <s v="ORD-00888"/>
    <x v="349"/>
    <s v="CUST-0288"/>
    <s v="Customer 0288"/>
    <s v="Corporate"/>
    <x v="3"/>
    <s v="West Bengal"/>
    <s v="Kolkata"/>
    <x v="1"/>
    <s v="Phones"/>
    <x v="1"/>
    <n v="1"/>
    <n v="40937.25"/>
    <n v="0.05"/>
    <n v="38890.39"/>
    <n v="6908.97"/>
    <s v="Net Banking"/>
  </r>
  <r>
    <s v="ORD-00989"/>
    <x v="349"/>
    <s v="CUST-0247"/>
    <s v="Customer 0247"/>
    <s v="Consumer"/>
    <x v="3"/>
    <s v="Odisha"/>
    <s v="Bhubaneswar"/>
    <x v="2"/>
    <s v="Stationery"/>
    <x v="13"/>
    <n v="3"/>
    <n v="610.14"/>
    <n v="0.1"/>
    <n v="1647.38"/>
    <n v="507.21"/>
    <s v="Net Banking"/>
  </r>
  <r>
    <s v="ORD-01368"/>
    <x v="349"/>
    <s v="CUST-0276"/>
    <s v="Customer 0276"/>
    <s v="Corporate"/>
    <x v="1"/>
    <s v="Telangana"/>
    <s v="Hyderabad"/>
    <x v="1"/>
    <s v="Phones"/>
    <x v="11"/>
    <n v="2"/>
    <n v="17980.8"/>
    <n v="0"/>
    <n v="35961.599999999999"/>
    <n v="6971.81"/>
    <s v="Net Banking"/>
  </r>
  <r>
    <s v="ORD-00553"/>
    <x v="349"/>
    <s v="CUST-0297"/>
    <s v="Customer 0297"/>
    <s v="Corporate"/>
    <x v="2"/>
    <s v="Rajasthan"/>
    <s v="Jaipur"/>
    <x v="1"/>
    <s v="Phones"/>
    <x v="1"/>
    <n v="4"/>
    <n v="42548.67"/>
    <n v="0.05"/>
    <n v="161684.95000000001"/>
    <n v="20978.29"/>
    <s v="UPI"/>
  </r>
  <r>
    <s v="ORD-00802"/>
    <x v="350"/>
    <s v="CUST-0280"/>
    <s v="Customer 0280"/>
    <s v="Consumer"/>
    <x v="2"/>
    <s v="Uttar Pradesh"/>
    <s v="Lucknow"/>
    <x v="2"/>
    <s v="Stationery"/>
    <x v="13"/>
    <n v="2"/>
    <n v="619.52"/>
    <n v="0"/>
    <n v="1239.04"/>
    <n v="217.07"/>
    <s v="Net Banking"/>
  </r>
  <r>
    <s v="ORD-01017"/>
    <x v="350"/>
    <s v="CUST-0246"/>
    <s v="Customer 0246"/>
    <s v="Consumer"/>
    <x v="0"/>
    <s v="Maharashtra"/>
    <s v="Mumbai"/>
    <x v="0"/>
    <s v="Chairs"/>
    <x v="7"/>
    <n v="2"/>
    <n v="8472.7900000000009"/>
    <n v="0.1"/>
    <n v="15251.02"/>
    <n v="1740.58"/>
    <s v="Net Banking"/>
  </r>
  <r>
    <s v="ORD-01416"/>
    <x v="350"/>
    <s v="CUST-0179"/>
    <s v="Customer 0179"/>
    <s v="Consumer"/>
    <x v="3"/>
    <s v="Odisha"/>
    <s v="Bhubaneswar"/>
    <x v="0"/>
    <s v="Chairs"/>
    <x v="7"/>
    <n v="2"/>
    <n v="8760.84"/>
    <n v="0.15"/>
    <n v="14893.43"/>
    <n v="2902.22"/>
    <s v="Cash"/>
  </r>
  <r>
    <s v="ORD-00635"/>
    <x v="350"/>
    <s v="CUST-0057"/>
    <s v="Customer 0057"/>
    <s v="Small Business"/>
    <x v="3"/>
    <s v="West Bengal"/>
    <s v="Kolkata"/>
    <x v="1"/>
    <s v="Accessories"/>
    <x v="3"/>
    <n v="1"/>
    <n v="1196.97"/>
    <n v="0.1"/>
    <n v="1077.27"/>
    <n v="92.33"/>
    <s v="Net Banking"/>
  </r>
  <r>
    <s v="ORD-01333"/>
    <x v="350"/>
    <s v="CUST-0029"/>
    <s v="Customer 0029"/>
    <s v="Small Business"/>
    <x v="2"/>
    <s v="Delhi"/>
    <s v="Delhi"/>
    <x v="1"/>
    <s v="Phones"/>
    <x v="11"/>
    <n v="1"/>
    <n v="18067.439999999999"/>
    <n v="0"/>
    <n v="18067.439999999999"/>
    <n v="1806.09"/>
    <s v="Card"/>
  </r>
  <r>
    <s v="ORD-00091"/>
    <x v="350"/>
    <s v="CUST-0154"/>
    <s v="Customer 0154"/>
    <s v="Consumer"/>
    <x v="0"/>
    <s v="Maharashtra"/>
    <s v="Pune"/>
    <x v="1"/>
    <s v="Phones"/>
    <x v="11"/>
    <n v="1"/>
    <n v="17133.099999999999"/>
    <n v="0.05"/>
    <n v="16276.44"/>
    <n v="3280.19"/>
    <s v="UPI"/>
  </r>
  <r>
    <s v="ORD-01450"/>
    <x v="350"/>
    <s v="CUST-0135"/>
    <s v="Customer 0135"/>
    <s v="Consumer"/>
    <x v="2"/>
    <s v="Rajasthan"/>
    <s v="Jaipur"/>
    <x v="1"/>
    <s v="Laptops"/>
    <x v="10"/>
    <n v="2"/>
    <n v="66793.100000000006"/>
    <n v="0.15"/>
    <n v="113548.27"/>
    <n v="4924.8100000000004"/>
    <s v="Net Banking"/>
  </r>
  <r>
    <s v="ORD-01470"/>
    <x v="350"/>
    <s v="CUST-0225"/>
    <s v="Customer 0225"/>
    <s v="Corporate"/>
    <x v="1"/>
    <s v="Telangana"/>
    <s v="Hyderabad"/>
    <x v="2"/>
    <s v="Storage"/>
    <x v="2"/>
    <n v="5"/>
    <n v="739.7"/>
    <n v="0.1"/>
    <n v="3328.65"/>
    <n v="1041.9000000000001"/>
    <s v="Cash"/>
  </r>
  <r>
    <s v="ORD-00976"/>
    <x v="350"/>
    <s v="CUST-0184"/>
    <s v="Customer 0184"/>
    <s v="Small Business"/>
    <x v="2"/>
    <s v="Delhi"/>
    <s v="Delhi"/>
    <x v="0"/>
    <s v="Storage"/>
    <x v="4"/>
    <n v="1"/>
    <n v="14405.46"/>
    <n v="0.1"/>
    <n v="12964.91"/>
    <n v="1807.74"/>
    <s v="UPI"/>
  </r>
  <r>
    <s v="ORD-01316"/>
    <x v="350"/>
    <s v="CUST-0049"/>
    <s v="Customer 0049"/>
    <s v="Corporate"/>
    <x v="1"/>
    <s v="Telangana"/>
    <s v="Hyderabad"/>
    <x v="1"/>
    <s v="Laptops"/>
    <x v="5"/>
    <n v="2"/>
    <n v="45606.81"/>
    <n v="0"/>
    <n v="91213.62"/>
    <n v="14447.78"/>
    <s v="Net Banking"/>
  </r>
  <r>
    <s v="ORD-00077"/>
    <x v="350"/>
    <s v="CUST-0218"/>
    <s v="Customer 0218"/>
    <s v="Corporate"/>
    <x v="2"/>
    <s v="Uttar Pradesh"/>
    <s v="Lucknow"/>
    <x v="2"/>
    <s v="Paper"/>
    <x v="6"/>
    <n v="2"/>
    <n v="428.31"/>
    <n v="0.1"/>
    <n v="770.96"/>
    <n v="224.44"/>
    <s v="Net Banking"/>
  </r>
  <r>
    <s v="ORD-00573"/>
    <x v="350"/>
    <s v="CUST-0294"/>
    <s v="Customer 0294"/>
    <s v="Corporate"/>
    <x v="2"/>
    <s v="Uttar Pradesh"/>
    <s v="Lucknow"/>
    <x v="1"/>
    <s v="Accessories"/>
    <x v="8"/>
    <n v="3"/>
    <n v="1880.49"/>
    <n v="0.05"/>
    <n v="5359.4"/>
    <n v="655.22"/>
    <s v="Net Banking"/>
  </r>
  <r>
    <s v="ORD-00796"/>
    <x v="351"/>
    <s v="CUST-0126"/>
    <s v="Customer 0126"/>
    <s v="Consumer"/>
    <x v="2"/>
    <s v="Delhi"/>
    <s v="Delhi"/>
    <x v="0"/>
    <s v="Tables"/>
    <x v="0"/>
    <n v="3"/>
    <n v="12380.25"/>
    <n v="0"/>
    <n v="37140.75"/>
    <n v="4539.78"/>
    <s v="Net Banking"/>
  </r>
  <r>
    <s v="ORD-00674"/>
    <x v="351"/>
    <s v="CUST-0057"/>
    <s v="Customer 0057"/>
    <s v="Consumer"/>
    <x v="3"/>
    <s v="West Bengal"/>
    <s v="Kolkata"/>
    <x v="2"/>
    <s v="Stationery"/>
    <x v="13"/>
    <n v="4"/>
    <n v="591.04"/>
    <n v="0.15"/>
    <n v="2009.54"/>
    <n v="382.52"/>
    <s v="Cash"/>
  </r>
  <r>
    <s v="ORD-01268"/>
    <x v="351"/>
    <s v="CUST-0155"/>
    <s v="Customer 0155"/>
    <s v="Consumer"/>
    <x v="1"/>
    <s v="Tamil Nadu"/>
    <s v="Chennai"/>
    <x v="0"/>
    <s v="Chairs"/>
    <x v="7"/>
    <n v="3"/>
    <n v="8594.14"/>
    <n v="0.2"/>
    <n v="20625.939999999999"/>
    <n v="3170.7"/>
    <s v="UPI"/>
  </r>
  <r>
    <s v="ORD-00524"/>
    <x v="351"/>
    <s v="CUST-0219"/>
    <s v="Customer 0219"/>
    <s v="Consumer"/>
    <x v="1"/>
    <s v="Tamil Nadu"/>
    <s v="Chennai"/>
    <x v="0"/>
    <s v="Tables"/>
    <x v="12"/>
    <n v="1"/>
    <n v="6741.53"/>
    <n v="0.15"/>
    <n v="5730.3"/>
    <n v="889.75"/>
    <s v="Net Banking"/>
  </r>
  <r>
    <s v="ORD-01422"/>
    <x v="351"/>
    <s v="CUST-0158"/>
    <s v="Customer 0158"/>
    <s v="Consumer"/>
    <x v="3"/>
    <s v="Bihar"/>
    <s v="Patna"/>
    <x v="0"/>
    <s v="Tables"/>
    <x v="12"/>
    <n v="4"/>
    <n v="6278.52"/>
    <n v="0.05"/>
    <n v="23858.38"/>
    <n v="3034.63"/>
    <s v="Cash"/>
  </r>
  <r>
    <s v="ORD-00245"/>
    <x v="352"/>
    <s v="CUST-0035"/>
    <s v="Customer 0035"/>
    <s v="Corporate"/>
    <x v="3"/>
    <s v="West Bengal"/>
    <s v="Kolkata"/>
    <x v="1"/>
    <s v="Phones"/>
    <x v="11"/>
    <n v="1"/>
    <n v="17239.77"/>
    <n v="0.05"/>
    <n v="16377.78"/>
    <n v="2079.44"/>
    <s v="Cash"/>
  </r>
  <r>
    <s v="ORD-00847"/>
    <x v="352"/>
    <s v="CUST-0279"/>
    <s v="Customer 0279"/>
    <s v="Consumer"/>
    <x v="0"/>
    <s v="Gujarat"/>
    <s v="Ahmedabad"/>
    <x v="0"/>
    <s v="Tables"/>
    <x v="0"/>
    <n v="3"/>
    <n v="12201.82"/>
    <n v="0"/>
    <n v="36605.46"/>
    <n v="9639.31"/>
    <s v="Card"/>
  </r>
  <r>
    <s v="ORD-01290"/>
    <x v="352"/>
    <s v="CUST-0279"/>
    <s v="Customer 0279"/>
    <s v="Small Business"/>
    <x v="3"/>
    <s v="Odisha"/>
    <s v="Bhubaneswar"/>
    <x v="0"/>
    <s v="Tables"/>
    <x v="12"/>
    <n v="2"/>
    <n v="6229.48"/>
    <n v="0.15"/>
    <n v="10590.12"/>
    <n v="1093.0999999999999"/>
    <s v="Cash"/>
  </r>
  <r>
    <s v="ORD-01309"/>
    <x v="352"/>
    <s v="CUST-0283"/>
    <s v="Customer 0283"/>
    <s v="Consumer"/>
    <x v="2"/>
    <s v="Uttar Pradesh"/>
    <s v="Lucknow"/>
    <x v="0"/>
    <s v="Chairs"/>
    <x v="7"/>
    <n v="3"/>
    <n v="8578.58"/>
    <n v="0.1"/>
    <n v="23162.17"/>
    <n v="2340.92"/>
    <s v="Net Banking"/>
  </r>
  <r>
    <s v="ORD-01273"/>
    <x v="353"/>
    <s v="CUST-0131"/>
    <s v="Customer 0131"/>
    <s v="Corporate"/>
    <x v="2"/>
    <s v="Uttar Pradesh"/>
    <s v="Lucknow"/>
    <x v="1"/>
    <s v="Laptops"/>
    <x v="5"/>
    <n v="1"/>
    <n v="46077.83"/>
    <n v="0.1"/>
    <n v="41470.050000000003"/>
    <n v="4162.6000000000004"/>
    <s v="Cash"/>
  </r>
  <r>
    <s v="ORD-00009"/>
    <x v="353"/>
    <s v="CUST-0035"/>
    <s v="Customer 0035"/>
    <s v="Consumer"/>
    <x v="0"/>
    <s v="Maharashtra"/>
    <s v="Pune"/>
    <x v="2"/>
    <s v="Stationery"/>
    <x v="13"/>
    <n v="1"/>
    <n v="615.65"/>
    <n v="0.1"/>
    <n v="554.09"/>
    <n v="129.09"/>
    <s v="Cash"/>
  </r>
  <r>
    <s v="ORD-00552"/>
    <x v="353"/>
    <s v="CUST-0073"/>
    <s v="Customer 0073"/>
    <s v="Consumer"/>
    <x v="1"/>
    <s v="Telangana"/>
    <s v="Hyderabad"/>
    <x v="1"/>
    <s v="Phones"/>
    <x v="1"/>
    <n v="1"/>
    <n v="39928.730000000003"/>
    <n v="0"/>
    <n v="39928.730000000003"/>
    <n v="5804.94"/>
    <s v="Card"/>
  </r>
  <r>
    <s v="ORD-01127"/>
    <x v="353"/>
    <s v="CUST-0103"/>
    <s v="Customer 0103"/>
    <s v="Consumer"/>
    <x v="2"/>
    <s v="Delhi"/>
    <s v="Delhi"/>
    <x v="0"/>
    <s v="Tables"/>
    <x v="12"/>
    <n v="3"/>
    <n v="6360.68"/>
    <n v="0"/>
    <n v="19082.04"/>
    <n v="4930.09"/>
    <s v="UPI"/>
  </r>
  <r>
    <s v="ORD-01004"/>
    <x v="353"/>
    <s v="CUST-0244"/>
    <s v="Customer 0244"/>
    <s v="Consumer"/>
    <x v="3"/>
    <s v="West Bengal"/>
    <s v="Kolkata"/>
    <x v="1"/>
    <s v="Laptops"/>
    <x v="10"/>
    <n v="1"/>
    <n v="64238.15"/>
    <n v="0.1"/>
    <n v="57814.33"/>
    <n v="4390.97"/>
    <s v="Card"/>
  </r>
  <r>
    <s v="ORD-01296"/>
    <x v="353"/>
    <s v="CUST-0073"/>
    <s v="Customer 0073"/>
    <s v="Consumer"/>
    <x v="3"/>
    <s v="Odisha"/>
    <s v="Bhubaneswar"/>
    <x v="0"/>
    <s v="Storage"/>
    <x v="4"/>
    <n v="3"/>
    <n v="14321.7"/>
    <n v="0"/>
    <n v="42965.1"/>
    <n v="5211.21"/>
    <s v="UPI"/>
  </r>
  <r>
    <s v="ORD-00076"/>
    <x v="354"/>
    <s v="CUST-0095"/>
    <s v="Customer 0095"/>
    <s v="Corporate"/>
    <x v="1"/>
    <s v="Karnataka"/>
    <s v="Bengaluru"/>
    <x v="1"/>
    <s v="Laptops"/>
    <x v="5"/>
    <n v="2"/>
    <n v="48475.34"/>
    <n v="0.1"/>
    <n v="87255.61"/>
    <n v="14115.77"/>
    <s v="Card"/>
  </r>
  <r>
    <s v="ORD-00359"/>
    <x v="354"/>
    <s v="CUST-0237"/>
    <s v="Customer 0237"/>
    <s v="Consumer"/>
    <x v="1"/>
    <s v="Telangana"/>
    <s v="Hyderabad"/>
    <x v="0"/>
    <s v="Storage"/>
    <x v="4"/>
    <n v="2"/>
    <n v="14457.89"/>
    <n v="0"/>
    <n v="28915.78"/>
    <n v="6532.25"/>
    <s v="Card"/>
  </r>
  <r>
    <s v="ORD-01289"/>
    <x v="355"/>
    <s v="CUST-0253"/>
    <s v="Customer 0253"/>
    <s v="Corporate"/>
    <x v="1"/>
    <s v="Karnataka"/>
    <s v="Bengaluru"/>
    <x v="0"/>
    <s v="Tables"/>
    <x v="0"/>
    <n v="1"/>
    <n v="12106.18"/>
    <n v="0.1"/>
    <n v="10895.56"/>
    <n v="1920.95"/>
    <s v="Card"/>
  </r>
  <r>
    <s v="ORD-00954"/>
    <x v="355"/>
    <s v="CUST-0274"/>
    <s v="Customer 0274"/>
    <s v="Small Business"/>
    <x v="2"/>
    <s v="Rajasthan"/>
    <s v="Jaipur"/>
    <x v="0"/>
    <s v="Tables"/>
    <x v="0"/>
    <n v="3"/>
    <n v="12562.71"/>
    <n v="0.15"/>
    <n v="32034.91"/>
    <n v="6037.46"/>
    <s v="UPI"/>
  </r>
  <r>
    <s v="ORD-00615"/>
    <x v="356"/>
    <s v="CUST-0052"/>
    <s v="Customer 0052"/>
    <s v="Corporate"/>
    <x v="1"/>
    <s v="Tamil Nadu"/>
    <s v="Chennai"/>
    <x v="1"/>
    <s v="Accessories"/>
    <x v="8"/>
    <n v="3"/>
    <n v="1760.02"/>
    <n v="0.2"/>
    <n v="4224.05"/>
    <n v="478.46"/>
    <s v="UPI"/>
  </r>
  <r>
    <s v="ORD-01457"/>
    <x v="356"/>
    <s v="CUST-0213"/>
    <s v="Customer 0213"/>
    <s v="Corporate"/>
    <x v="3"/>
    <s v="West Bengal"/>
    <s v="Kolkata"/>
    <x v="0"/>
    <s v="Tables"/>
    <x v="12"/>
    <n v="1"/>
    <n v="6571.19"/>
    <n v="0.1"/>
    <n v="5914.07"/>
    <n v="791.15"/>
    <s v="Cash"/>
  </r>
  <r>
    <s v="ORD-00600"/>
    <x v="356"/>
    <s v="CUST-0083"/>
    <s v="Customer 0083"/>
    <s v="Corporate"/>
    <x v="1"/>
    <s v="Tamil Nadu"/>
    <s v="Chennai"/>
    <x v="1"/>
    <s v="Phones"/>
    <x v="11"/>
    <n v="3"/>
    <n v="18709.150000000001"/>
    <n v="0.15"/>
    <n v="47708.33"/>
    <n v="9074.7999999999993"/>
    <s v="Cash"/>
  </r>
  <r>
    <s v="ORD-01035"/>
    <x v="356"/>
    <s v="CUST-0269"/>
    <s v="Customer 0269"/>
    <s v="Corporate"/>
    <x v="0"/>
    <s v="Gujarat"/>
    <s v="Ahmedabad"/>
    <x v="2"/>
    <s v="Stationery"/>
    <x v="13"/>
    <n v="2"/>
    <n v="581.71"/>
    <n v="0"/>
    <n v="1163.42"/>
    <n v="213"/>
    <s v="Net Banking"/>
  </r>
  <r>
    <s v="ORD-01475"/>
    <x v="357"/>
    <s v="CUST-0240"/>
    <s v="Customer 0240"/>
    <s v="Small Business"/>
    <x v="1"/>
    <s v="Karnataka"/>
    <s v="Bengaluru"/>
    <x v="0"/>
    <s v="Tables"/>
    <x v="12"/>
    <n v="4"/>
    <n v="6820.7"/>
    <n v="0"/>
    <n v="27282.799999999999"/>
    <n v="6324.05"/>
    <s v="Card"/>
  </r>
  <r>
    <s v="ORD-00599"/>
    <x v="358"/>
    <s v="CUST-0242"/>
    <s v="Customer 0242"/>
    <s v="Small Business"/>
    <x v="2"/>
    <s v="Rajasthan"/>
    <s v="Jaipur"/>
    <x v="1"/>
    <s v="Accessories"/>
    <x v="3"/>
    <n v="1"/>
    <n v="1200.3800000000001"/>
    <n v="0.05"/>
    <n v="1140.3599999999999"/>
    <n v="164.22"/>
    <s v="Cash"/>
  </r>
  <r>
    <s v="ORD-00709"/>
    <x v="358"/>
    <s v="CUST-0168"/>
    <s v="Customer 0168"/>
    <s v="Consumer"/>
    <x v="0"/>
    <s v="Maharashtra"/>
    <s v="Mumbai"/>
    <x v="2"/>
    <s v="Stationery"/>
    <x v="9"/>
    <n v="2"/>
    <n v="339.12"/>
    <n v="0.1"/>
    <n v="610.41999999999996"/>
    <n v="185.16"/>
    <s v="Net Banking"/>
  </r>
  <r>
    <s v="ORD-00272"/>
    <x v="358"/>
    <s v="CUST-0170"/>
    <s v="Customer 0170"/>
    <s v="Consumer"/>
    <x v="3"/>
    <s v="West Bengal"/>
    <s v="Kolkata"/>
    <x v="0"/>
    <s v="Tables"/>
    <x v="0"/>
    <n v="4"/>
    <n v="11514.48"/>
    <n v="0.1"/>
    <n v="41452.129999999997"/>
    <n v="7372.8"/>
    <s v="UPI"/>
  </r>
  <r>
    <s v="ORD-01249"/>
    <x v="358"/>
    <s v="CUST-0034"/>
    <s v="Customer 0034"/>
    <s v="Consumer"/>
    <x v="1"/>
    <s v="Karnataka"/>
    <s v="Bengaluru"/>
    <x v="1"/>
    <s v="Phones"/>
    <x v="1"/>
    <n v="4"/>
    <n v="41766.410000000003"/>
    <n v="0"/>
    <n v="167065.64000000001"/>
    <n v="33232.550000000003"/>
    <s v="UPI"/>
  </r>
  <r>
    <s v="ORD-00345"/>
    <x v="359"/>
    <s v="CUST-0227"/>
    <s v="Customer 0227"/>
    <s v="Corporate"/>
    <x v="0"/>
    <s v="Gujarat"/>
    <s v="Ahmedabad"/>
    <x v="0"/>
    <s v="Tables"/>
    <x v="12"/>
    <n v="1"/>
    <n v="6445.49"/>
    <n v="0.1"/>
    <n v="5800.94"/>
    <n v="984.03"/>
    <s v="UPI"/>
  </r>
  <r>
    <s v="ORD-00042"/>
    <x v="359"/>
    <s v="CUST-0170"/>
    <s v="Customer 0170"/>
    <s v="Consumer"/>
    <x v="2"/>
    <s v="Delhi"/>
    <s v="Delhi"/>
    <x v="0"/>
    <s v="Tables"/>
    <x v="0"/>
    <n v="4"/>
    <n v="12015.99"/>
    <n v="0"/>
    <n v="48063.96"/>
    <n v="7561.25"/>
    <s v="UPI"/>
  </r>
  <r>
    <s v="ORD-00541"/>
    <x v="359"/>
    <s v="CUST-0249"/>
    <s v="Customer 0249"/>
    <s v="Consumer"/>
    <x v="1"/>
    <s v="Tamil Nadu"/>
    <s v="Chennai"/>
    <x v="1"/>
    <s v="Laptops"/>
    <x v="5"/>
    <n v="2"/>
    <n v="49214.97"/>
    <n v="0.1"/>
    <n v="88586.95"/>
    <n v="13297.16"/>
    <s v="Card"/>
  </r>
  <r>
    <s v="ORD-00190"/>
    <x v="359"/>
    <s v="CUST-0061"/>
    <s v="Customer 0061"/>
    <s v="Small Business"/>
    <x v="0"/>
    <s v="Maharashtra"/>
    <s v="Mumbai"/>
    <x v="0"/>
    <s v="Tables"/>
    <x v="12"/>
    <n v="1"/>
    <n v="6555.78"/>
    <n v="0.1"/>
    <n v="5900.2"/>
    <n v="1099.77"/>
    <s v="Cash"/>
  </r>
  <r>
    <s v="ORD-01117"/>
    <x v="359"/>
    <s v="CUST-0242"/>
    <s v="Customer 0242"/>
    <s v="Corporate"/>
    <x v="1"/>
    <s v="Karnataka"/>
    <s v="Bengaluru"/>
    <x v="1"/>
    <s v="Phones"/>
    <x v="1"/>
    <n v="2"/>
    <n v="43194.65"/>
    <n v="0"/>
    <n v="86389.3"/>
    <n v="15119.84"/>
    <s v="Card"/>
  </r>
  <r>
    <s v="ORD-00095"/>
    <x v="359"/>
    <s v="CUST-0069"/>
    <s v="Customer 0069"/>
    <s v="Consumer"/>
    <x v="0"/>
    <s v="Maharashtra"/>
    <s v="Pune"/>
    <x v="1"/>
    <s v="Accessories"/>
    <x v="8"/>
    <n v="1"/>
    <n v="1739.16"/>
    <n v="0.1"/>
    <n v="1565.24"/>
    <n v="260.85000000000002"/>
    <s v="Cash"/>
  </r>
  <r>
    <s v="ORD-00883"/>
    <x v="359"/>
    <s v="CUST-0275"/>
    <s v="Customer 0275"/>
    <s v="Consumer"/>
    <x v="2"/>
    <s v="Rajasthan"/>
    <s v="Jaipur"/>
    <x v="0"/>
    <s v="Tables"/>
    <x v="12"/>
    <n v="1"/>
    <n v="6355.05"/>
    <n v="0.05"/>
    <n v="6037.3"/>
    <n v="1184.69"/>
    <s v="UPI"/>
  </r>
  <r>
    <s v="ORD-00950"/>
    <x v="359"/>
    <s v="CUST-0154"/>
    <s v="Customer 0154"/>
    <s v="Consumer"/>
    <x v="1"/>
    <s v="Telangana"/>
    <s v="Hyderabad"/>
    <x v="0"/>
    <s v="Tables"/>
    <x v="12"/>
    <n v="2"/>
    <n v="6487.9"/>
    <n v="0.15"/>
    <n v="11029.43"/>
    <n v="1064.83"/>
    <s v="Cash"/>
  </r>
  <r>
    <s v="ORD-00851"/>
    <x v="359"/>
    <s v="CUST-0198"/>
    <s v="Customer 0198"/>
    <s v="Small Business"/>
    <x v="1"/>
    <s v="Telangana"/>
    <s v="Hyderabad"/>
    <x v="2"/>
    <s v="Storage"/>
    <x v="2"/>
    <n v="2"/>
    <n v="761.66"/>
    <n v="0"/>
    <n v="1523.32"/>
    <n v="231.02"/>
    <s v="Cash"/>
  </r>
  <r>
    <s v="ORD-01423"/>
    <x v="359"/>
    <s v="CUST-0126"/>
    <s v="Customer 0126"/>
    <s v="Consumer"/>
    <x v="1"/>
    <s v="Karnataka"/>
    <s v="Bengaluru"/>
    <x v="0"/>
    <s v="Tables"/>
    <x v="12"/>
    <n v="2"/>
    <n v="6404.55"/>
    <n v="0.15"/>
    <n v="10887.74"/>
    <n v="1541.58"/>
    <s v="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AF4F1-3F0C-4EB5-B2DE-DD313074C386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7" firstHeaderRow="0" firstDataRow="1" firstDataCol="1"/>
  <pivotFields count="18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" showAll="0"/>
    <pivotField numFmtId="2" showAll="0"/>
    <pivotField numFmtId="9" showAll="0"/>
    <pivotField dataField="1" numFmtId="2" showAll="0"/>
    <pivotField dataField="1" numFmtId="2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57EDE-0909-4B4C-BDF3-35003046D9AE}" name="PivotTable2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8" firstHeaderRow="0" firstDataRow="1" firstDataCol="1"/>
  <pivotFields count="18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2" showAll="0"/>
    <pivotField numFmtId="9" showAll="0"/>
    <pivotField dataField="1" numFmtId="2" showAll="0"/>
    <pivotField dataField="1" numFmtId="2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B982C-B8C1-4DDE-8585-166FB160BD43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8" firstHeaderRow="0" firstDataRow="1" firstDataCol="1"/>
  <pivotFields count="18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5">
        <item x="10"/>
        <item x="7"/>
        <item x="2"/>
        <item x="8"/>
        <item x="13"/>
        <item x="0"/>
        <item x="9"/>
        <item x="6"/>
        <item x="11"/>
        <item x="1"/>
        <item x="4"/>
        <item x="5"/>
        <item x="1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2" showAll="0"/>
    <pivotField numFmtId="9" showAll="0"/>
    <pivotField dataField="1" numFmtId="2" showAll="0"/>
    <pivotField dataField="1" numFmtId="2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5">
    <i>
      <x/>
    </i>
    <i>
      <x v="11"/>
    </i>
    <i>
      <x v="9"/>
    </i>
    <i>
      <x v="8"/>
    </i>
    <i>
      <x v="10"/>
    </i>
    <i>
      <x v="5"/>
    </i>
    <i>
      <x v="12"/>
    </i>
    <i>
      <x v="1"/>
    </i>
    <i>
      <x v="3"/>
    </i>
    <i>
      <x v="13"/>
    </i>
    <i>
      <x v="2"/>
    </i>
    <i>
      <x v="4"/>
    </i>
    <i>
      <x v="7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3EF38-C3EB-4849-A104-2E0201A3905B}" name="PivotTable2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6" firstHeaderRow="0" firstDataRow="1" firstDataCol="1"/>
  <pivotFields count="18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2" showAll="0"/>
    <pivotField numFmtId="9" showAll="0"/>
    <pivotField dataField="1" numFmtId="2" showAll="0"/>
    <pivotField dataField="1" numFmtId="2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7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79EDEE-7067-41AC-A408-30A849403B0B}" name="retailsales" displayName="retailsales" ref="A1:Q1501" totalsRowShown="0" headerRowDxfId="8" headerRowBorderDxfId="7" tableBorderDxfId="6">
  <autoFilter ref="A1:Q1501" xr:uid="{00000000-0001-0000-0000-000000000000}"/>
  <tableColumns count="17">
    <tableColumn id="1" xr3:uid="{708293F9-4626-4A1E-8442-B2AF7ADC716E}" name="Order_ID"/>
    <tableColumn id="2" xr3:uid="{C8A95F40-7710-405F-8449-0091D25549B0}" name="Order_Date" dataDxfId="5"/>
    <tableColumn id="3" xr3:uid="{DD07F162-3DBC-49C4-8C2B-195105F03003}" name="Customer_ID"/>
    <tableColumn id="4" xr3:uid="{955C7EEE-021F-4F45-A24D-8FC5F3728EF6}" name="Customer_Name"/>
    <tableColumn id="5" xr3:uid="{EB386170-0BE9-428C-954B-9850458D96FB}" name="Segment"/>
    <tableColumn id="6" xr3:uid="{BF0168CA-8DD3-4642-B114-EA0FA2F53B68}" name="Region"/>
    <tableColumn id="7" xr3:uid="{20C54FA0-5104-4A45-AF68-1661D25E3851}" name="State"/>
    <tableColumn id="8" xr3:uid="{D88046B1-1299-405D-B18F-A4FF60C1BF7C}" name="City"/>
    <tableColumn id="9" xr3:uid="{14FE29A6-471A-4803-AC01-8CBA5AE0F064}" name="Category"/>
    <tableColumn id="10" xr3:uid="{C85130BF-046B-49F4-B90A-1FB7B2DA232B}" name="Sub_Category"/>
    <tableColumn id="11" xr3:uid="{0A363819-BA4F-4913-BA40-9EF6214950E1}" name="Product_Name"/>
    <tableColumn id="12" xr3:uid="{D01606FF-9F9E-4221-92C5-8F19D5E7A104}" name="Quantity" dataDxfId="4"/>
    <tableColumn id="13" xr3:uid="{CBFAE9A1-7403-4471-B9AF-F2B48D2DA810}" name="Unit_Price" dataDxfId="3"/>
    <tableColumn id="14" xr3:uid="{2DCB0682-A064-4E60-8310-1753E32C53A5}" name="Discount" dataDxfId="2"/>
    <tableColumn id="15" xr3:uid="{10B9702B-FFD1-4240-BABF-8288856F887B}" name="Sales" dataDxfId="1"/>
    <tableColumn id="16" xr3:uid="{A3565B51-1D55-4225-B712-CB6949A2F254}" name="Profit" dataDxfId="0"/>
    <tableColumn id="17" xr3:uid="{0C67C6BB-4F5B-4229-AEE2-07312CE9AF9B}" name="Payment_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222C-1851-49FF-8D7D-AB34DFD2D28B}">
  <dimension ref="A1:L53"/>
  <sheetViews>
    <sheetView showGridLines="0" tabSelected="1" topLeftCell="A24" workbookViewId="0">
      <selection activeCell="O5" sqref="O5"/>
    </sheetView>
  </sheetViews>
  <sheetFormatPr defaultRowHeight="14.4"/>
  <cols>
    <col min="2" max="2" width="14" customWidth="1"/>
    <col min="3" max="3" width="19" bestFit="1" customWidth="1"/>
  </cols>
  <sheetData>
    <row r="1" spans="1:12">
      <c r="A1" s="20" t="s">
        <v>2209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>
      <c r="A3" s="19"/>
      <c r="B3" s="19"/>
    </row>
    <row r="4" spans="1:12">
      <c r="A4" s="22" t="s">
        <v>2210</v>
      </c>
      <c r="B4" s="22"/>
      <c r="C4" s="22" t="s">
        <v>2211</v>
      </c>
      <c r="D4" s="21"/>
      <c r="E4" s="31" t="s">
        <v>2212</v>
      </c>
      <c r="F4" s="31"/>
      <c r="G4" s="24" t="s">
        <v>2213</v>
      </c>
      <c r="H4" s="25"/>
      <c r="I4" s="22" t="s">
        <v>2214</v>
      </c>
      <c r="J4" s="22"/>
    </row>
    <row r="5" spans="1:12" ht="18" customHeight="1">
      <c r="A5" s="36">
        <f>analysis!B1</f>
        <v>48375149.130000018</v>
      </c>
      <c r="B5" s="36"/>
      <c r="C5" s="32">
        <f>analysis!B2</f>
        <v>6923158.3399999924</v>
      </c>
      <c r="D5" s="33"/>
      <c r="E5" s="37">
        <f>analysis!B3</f>
        <v>0.14311394309907299</v>
      </c>
      <c r="F5" s="38"/>
      <c r="G5" s="26">
        <f>analysis!B4</f>
        <v>1500</v>
      </c>
      <c r="H5" s="27"/>
      <c r="I5" s="30">
        <f>analysis!B5</f>
        <v>32250.099420000013</v>
      </c>
      <c r="J5" s="30"/>
    </row>
    <row r="6" spans="1:12">
      <c r="A6" s="36"/>
      <c r="B6" s="36"/>
      <c r="C6" s="34"/>
      <c r="D6" s="35"/>
      <c r="E6" s="39"/>
      <c r="F6" s="40"/>
      <c r="G6" s="28"/>
      <c r="H6" s="29"/>
      <c r="I6" s="30"/>
      <c r="J6" s="30"/>
    </row>
    <row r="10" spans="1:12" ht="18">
      <c r="B10" s="23"/>
    </row>
    <row r="46" spans="1:8" ht="21">
      <c r="A46" s="46" t="s">
        <v>2215</v>
      </c>
      <c r="B46" s="46"/>
      <c r="C46" s="46"/>
    </row>
    <row r="47" spans="1:8" ht="18">
      <c r="A47" s="43" t="s">
        <v>2216</v>
      </c>
      <c r="B47" s="43"/>
      <c r="C47" s="43"/>
      <c r="D47" s="43"/>
      <c r="E47" s="43"/>
      <c r="F47" s="47"/>
      <c r="G47" s="44"/>
      <c r="H47" s="44"/>
    </row>
    <row r="48" spans="1:8" ht="18">
      <c r="A48" s="42" t="s">
        <v>2217</v>
      </c>
      <c r="B48" s="42"/>
      <c r="C48" s="42"/>
      <c r="D48" s="42"/>
      <c r="E48" s="42"/>
      <c r="F48" s="48"/>
      <c r="G48" s="44"/>
      <c r="H48" s="44"/>
    </row>
    <row r="49" spans="1:8" ht="18">
      <c r="A49" s="41" t="s">
        <v>2218</v>
      </c>
      <c r="B49" s="41"/>
      <c r="C49" s="41"/>
      <c r="D49" s="41"/>
      <c r="E49" s="41"/>
      <c r="F49" s="23"/>
      <c r="G49" s="44"/>
      <c r="H49" s="45"/>
    </row>
    <row r="50" spans="1:8" ht="18">
      <c r="A50" s="41" t="s">
        <v>2219</v>
      </c>
      <c r="B50" s="41"/>
      <c r="C50" s="41"/>
      <c r="D50" s="41"/>
      <c r="E50" s="41"/>
      <c r="F50" s="23"/>
      <c r="G50" s="44"/>
      <c r="H50" s="44"/>
    </row>
    <row r="51" spans="1:8" ht="18">
      <c r="A51" s="41" t="s">
        <v>2220</v>
      </c>
      <c r="B51" s="41"/>
      <c r="C51" s="41"/>
      <c r="D51" s="41"/>
      <c r="E51" s="41"/>
      <c r="F51" s="41"/>
      <c r="G51" s="44"/>
      <c r="H51" s="44"/>
    </row>
    <row r="52" spans="1:8" ht="18">
      <c r="A52" s="41" t="s">
        <v>2221</v>
      </c>
      <c r="B52" s="41"/>
      <c r="C52" s="41"/>
      <c r="D52" s="41"/>
      <c r="E52" s="41"/>
      <c r="F52" s="41"/>
      <c r="G52" s="44"/>
      <c r="H52" s="44"/>
    </row>
    <row r="53" spans="1:8">
      <c r="A53" s="44"/>
      <c r="B53" s="44"/>
      <c r="C53" s="44"/>
      <c r="D53" s="44"/>
      <c r="E53" s="44"/>
      <c r="F53" s="44"/>
      <c r="G53" s="44"/>
      <c r="H53" s="44"/>
    </row>
  </sheetData>
  <mergeCells count="19">
    <mergeCell ref="A52:F52"/>
    <mergeCell ref="A46:C46"/>
    <mergeCell ref="A5:B6"/>
    <mergeCell ref="A47:E47"/>
    <mergeCell ref="A48:E48"/>
    <mergeCell ref="A49:E49"/>
    <mergeCell ref="A50:E50"/>
    <mergeCell ref="A51:F51"/>
    <mergeCell ref="E5:F6"/>
    <mergeCell ref="G4:H4"/>
    <mergeCell ref="G5:H6"/>
    <mergeCell ref="I4:J4"/>
    <mergeCell ref="I5:J6"/>
    <mergeCell ref="A1:L2"/>
    <mergeCell ref="A3:B3"/>
    <mergeCell ref="A4:B4"/>
    <mergeCell ref="C4:D4"/>
    <mergeCell ref="C5:D6"/>
    <mergeCell ref="E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DCFB-C26A-4598-A6D2-C9778A7311E7}">
  <dimension ref="A1:E41"/>
  <sheetViews>
    <sheetView topLeftCell="A4" workbookViewId="0">
      <selection activeCell="N30" sqref="N30"/>
    </sheetView>
  </sheetViews>
  <sheetFormatPr defaultRowHeight="14.4"/>
  <cols>
    <col min="1" max="1" width="16.21875" bestFit="1" customWidth="1"/>
    <col min="2" max="2" width="13.88671875" style="11" bestFit="1" customWidth="1"/>
    <col min="4" max="4" width="11" bestFit="1" customWidth="1"/>
  </cols>
  <sheetData>
    <row r="1" spans="1:4">
      <c r="A1" t="s">
        <v>2172</v>
      </c>
      <c r="B1" s="11">
        <f>SUM(retailsales[Sales])</f>
        <v>48375149.130000018</v>
      </c>
    </row>
    <row r="2" spans="1:4">
      <c r="A2" t="s">
        <v>2173</v>
      </c>
      <c r="B2" s="11">
        <f>SUM(retailsales[Profit])</f>
        <v>6923158.3399999924</v>
      </c>
    </row>
    <row r="3" spans="1:4">
      <c r="A3" t="s">
        <v>2174</v>
      </c>
      <c r="B3" s="12">
        <f>B2/B1</f>
        <v>0.14311394309907299</v>
      </c>
    </row>
    <row r="4" spans="1:4">
      <c r="A4" t="s">
        <v>2175</v>
      </c>
      <c r="B4" s="11">
        <f>COUNTA(retailsales[Order_ID])</f>
        <v>1500</v>
      </c>
    </row>
    <row r="5" spans="1:4">
      <c r="A5" t="s">
        <v>2176</v>
      </c>
      <c r="B5" s="11">
        <f>B1/B4</f>
        <v>32250.099420000013</v>
      </c>
    </row>
    <row r="8" spans="1:4">
      <c r="A8" t="s">
        <v>2181</v>
      </c>
      <c r="B8" s="11" t="s">
        <v>2182</v>
      </c>
      <c r="C8" t="s">
        <v>2183</v>
      </c>
      <c r="D8" t="s">
        <v>2184</v>
      </c>
    </row>
    <row r="9" spans="1:4">
      <c r="A9" t="s">
        <v>2143</v>
      </c>
      <c r="B9" s="11">
        <v>38550939.770000003</v>
      </c>
      <c r="C9">
        <v>5109995.43</v>
      </c>
      <c r="D9" s="4">
        <f>C9/B9</f>
        <v>0.1325517733286635</v>
      </c>
    </row>
    <row r="10" spans="1:4">
      <c r="A10" t="s">
        <v>2142</v>
      </c>
      <c r="B10" s="11">
        <v>9364611.2599999998</v>
      </c>
      <c r="C10">
        <v>1705281.17</v>
      </c>
      <c r="D10" s="4">
        <f t="shared" ref="D10:D11" si="0">C10/B10</f>
        <v>0.1820984472984947</v>
      </c>
    </row>
    <row r="11" spans="1:4">
      <c r="A11" t="s">
        <v>2185</v>
      </c>
      <c r="B11" s="11">
        <v>459598.1</v>
      </c>
      <c r="C11">
        <v>107881.74</v>
      </c>
      <c r="D11" s="4">
        <f t="shared" si="0"/>
        <v>0.23473060484801833</v>
      </c>
    </row>
    <row r="14" spans="1:4">
      <c r="A14" t="s">
        <v>5</v>
      </c>
      <c r="B14" s="11" t="s">
        <v>14</v>
      </c>
      <c r="C14" t="s">
        <v>15</v>
      </c>
      <c r="D14" t="s">
        <v>2174</v>
      </c>
    </row>
    <row r="15" spans="1:4">
      <c r="A15" t="s">
        <v>2119</v>
      </c>
      <c r="B15">
        <v>10996134.48</v>
      </c>
      <c r="C15">
        <v>1655647.04</v>
      </c>
      <c r="D15" s="4">
        <f>C15/B15</f>
        <v>0.15056627790532442</v>
      </c>
    </row>
    <row r="16" spans="1:4">
      <c r="A16" t="s">
        <v>2118</v>
      </c>
      <c r="B16">
        <v>12222771.73</v>
      </c>
      <c r="C16">
        <v>1704299.58</v>
      </c>
      <c r="D16" s="4">
        <f>C16/B16</f>
        <v>0.13943642388550112</v>
      </c>
    </row>
    <row r="17" spans="1:5">
      <c r="A17" t="s">
        <v>2117</v>
      </c>
      <c r="B17">
        <v>13961115.34</v>
      </c>
      <c r="C17">
        <v>1943587.9</v>
      </c>
      <c r="D17" s="4">
        <f>C17/B17</f>
        <v>0.13921437167927586</v>
      </c>
    </row>
    <row r="18" spans="1:5">
      <c r="A18" t="s">
        <v>2116</v>
      </c>
      <c r="B18">
        <v>11195127.58</v>
      </c>
      <c r="C18">
        <v>1619623.82</v>
      </c>
      <c r="D18" s="4">
        <f>C18/B18</f>
        <v>0.14467220747831799</v>
      </c>
    </row>
    <row r="21" spans="1:5">
      <c r="A21" t="s">
        <v>2186</v>
      </c>
      <c r="B21" s="11" t="s">
        <v>14</v>
      </c>
      <c r="C21" t="s">
        <v>2187</v>
      </c>
      <c r="D21" t="s">
        <v>2174</v>
      </c>
    </row>
    <row r="22" spans="1:5">
      <c r="A22" t="s">
        <v>2188</v>
      </c>
      <c r="B22">
        <v>14208075.4</v>
      </c>
      <c r="C22">
        <v>1964313.76</v>
      </c>
      <c r="D22" s="17">
        <f>C22/B22</f>
        <v>0.13825333162294451</v>
      </c>
    </row>
    <row r="23" spans="1:5">
      <c r="A23" t="s">
        <v>2189</v>
      </c>
      <c r="B23" s="11">
        <v>10698033.74</v>
      </c>
      <c r="C23">
        <v>1343276.44</v>
      </c>
      <c r="D23" s="17">
        <f>C23/B23</f>
        <v>0.12556292797782856</v>
      </c>
    </row>
    <row r="24" spans="1:5">
      <c r="A24" t="s">
        <v>2190</v>
      </c>
      <c r="B24">
        <v>9132833.3399999999</v>
      </c>
      <c r="C24">
        <v>1201088.2</v>
      </c>
      <c r="D24" s="17">
        <f>C24/B24</f>
        <v>0.13151320683138623</v>
      </c>
    </row>
    <row r="25" spans="1:5">
      <c r="A25" t="s">
        <v>2191</v>
      </c>
      <c r="B25">
        <v>3827442.27</v>
      </c>
      <c r="C25">
        <v>512066</v>
      </c>
      <c r="D25" s="18">
        <v>0.13378804</v>
      </c>
    </row>
    <row r="26" spans="1:5">
      <c r="A26" t="s">
        <v>2192</v>
      </c>
      <c r="B26">
        <v>3494627.21</v>
      </c>
      <c r="C26">
        <v>638095.32999999996</v>
      </c>
      <c r="D26" s="18">
        <v>0.18259325000000001</v>
      </c>
    </row>
    <row r="29" spans="1:5">
      <c r="A29" t="s">
        <v>2205</v>
      </c>
      <c r="B29" s="11" t="s">
        <v>14</v>
      </c>
      <c r="C29" t="s">
        <v>15</v>
      </c>
      <c r="D29" t="s">
        <v>2206</v>
      </c>
    </row>
    <row r="30" spans="1:5">
      <c r="A30" t="s">
        <v>2193</v>
      </c>
      <c r="B30" s="11">
        <v>4558783.95</v>
      </c>
      <c r="C30">
        <v>68304.509999999995</v>
      </c>
      <c r="D30" s="16">
        <f>C30/B30</f>
        <v>1.4983054856109158E-2</v>
      </c>
    </row>
    <row r="31" spans="1:5">
      <c r="A31" t="s">
        <v>2194</v>
      </c>
      <c r="B31" s="11">
        <v>4461477.41</v>
      </c>
      <c r="C31">
        <v>583321.72</v>
      </c>
      <c r="D31" s="16">
        <f>C31/B31</f>
        <v>0.13074631257630864</v>
      </c>
      <c r="E31" s="16"/>
    </row>
    <row r="32" spans="1:5">
      <c r="A32" t="s">
        <v>2195</v>
      </c>
      <c r="B32" s="11">
        <v>3697121.86</v>
      </c>
      <c r="C32">
        <v>517785.07</v>
      </c>
      <c r="D32" s="16">
        <f>C32/B32</f>
        <v>0.14005085296268813</v>
      </c>
    </row>
    <row r="33" spans="1:4">
      <c r="A33" t="s">
        <v>2196</v>
      </c>
      <c r="B33" s="11">
        <v>2790935.36</v>
      </c>
      <c r="C33">
        <v>336738.63</v>
      </c>
      <c r="D33" s="16">
        <f>C33/B33</f>
        <v>0.1206543995343554</v>
      </c>
    </row>
    <row r="34" spans="1:4">
      <c r="A34" t="s">
        <v>2197</v>
      </c>
      <c r="B34" s="11">
        <v>3858104.91</v>
      </c>
      <c r="C34">
        <v>580731.37</v>
      </c>
      <c r="D34" s="16">
        <f>C34/B34</f>
        <v>0.15052244134024856</v>
      </c>
    </row>
    <row r="35" spans="1:4">
      <c r="A35" t="s">
        <v>2207</v>
      </c>
      <c r="B35" s="11">
        <v>3985541.62</v>
      </c>
      <c r="C35">
        <v>615347.37</v>
      </c>
      <c r="D35" s="16">
        <f>C35/B35</f>
        <v>0.15439491759717214</v>
      </c>
    </row>
    <row r="36" spans="1:4">
      <c r="A36" t="s">
        <v>2208</v>
      </c>
      <c r="B36" s="11">
        <v>4392458.0599999996</v>
      </c>
      <c r="C36">
        <v>598438.52</v>
      </c>
      <c r="D36" s="16">
        <f>C36/B36</f>
        <v>0.13624228434864102</v>
      </c>
    </row>
    <row r="37" spans="1:4">
      <c r="A37" t="s">
        <v>2200</v>
      </c>
      <c r="B37" s="11">
        <v>4809282.75</v>
      </c>
      <c r="C37">
        <v>715441.29</v>
      </c>
      <c r="D37" s="16">
        <f>C37/B37</f>
        <v>0.14876257587474973</v>
      </c>
    </row>
    <row r="38" spans="1:4">
      <c r="A38" t="s">
        <v>2201</v>
      </c>
      <c r="B38" s="11">
        <v>4122590.66</v>
      </c>
      <c r="C38">
        <v>620265.18000000005</v>
      </c>
      <c r="D38" s="16">
        <f>C38/B38</f>
        <v>0.15045519459843729</v>
      </c>
    </row>
    <row r="39" spans="1:4">
      <c r="A39" t="s">
        <v>2202</v>
      </c>
      <c r="B39" s="11">
        <v>3425718.29</v>
      </c>
      <c r="C39">
        <v>510030.88</v>
      </c>
      <c r="D39" s="16">
        <f>C39/B39</f>
        <v>0.14888290186873482</v>
      </c>
    </row>
    <row r="40" spans="1:4">
      <c r="A40" t="s">
        <v>2203</v>
      </c>
      <c r="B40" s="11">
        <v>3198513.8</v>
      </c>
      <c r="C40">
        <v>439376.29</v>
      </c>
      <c r="D40" s="16">
        <f>C40/B40</f>
        <v>0.13736888988879772</v>
      </c>
    </row>
    <row r="41" spans="1:4">
      <c r="A41" t="s">
        <v>2204</v>
      </c>
      <c r="B41" s="11">
        <v>5074620.46</v>
      </c>
      <c r="C41">
        <v>725337.51</v>
      </c>
      <c r="D41" s="16">
        <f>C41/B41</f>
        <v>0.14293433680752551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1"/>
  <sheetViews>
    <sheetView workbookViewId="0">
      <selection activeCell="G1" sqref="G1"/>
    </sheetView>
  </sheetViews>
  <sheetFormatPr defaultRowHeight="14.4"/>
  <cols>
    <col min="1" max="1" width="13" bestFit="1" customWidth="1"/>
    <col min="2" max="2" width="18.109375" style="1" bestFit="1" customWidth="1"/>
    <col min="3" max="3" width="16.33203125" bestFit="1" customWidth="1"/>
    <col min="4" max="4" width="19.6640625" bestFit="1" customWidth="1"/>
    <col min="5" max="5" width="12.88671875" bestFit="1" customWidth="1"/>
    <col min="6" max="6" width="11.21875" bestFit="1" customWidth="1"/>
    <col min="7" max="7" width="12.21875" bestFit="1" customWidth="1"/>
    <col min="8" max="8" width="12" bestFit="1" customWidth="1"/>
    <col min="9" max="9" width="13.109375" bestFit="1" customWidth="1"/>
    <col min="10" max="10" width="17.21875" bestFit="1" customWidth="1"/>
    <col min="11" max="11" width="18.21875" bestFit="1" customWidth="1"/>
    <col min="12" max="12" width="12.77734375" style="3" bestFit="1" customWidth="1"/>
    <col min="13" max="13" width="14.109375" style="2" bestFit="1" customWidth="1"/>
    <col min="14" max="14" width="12.77734375" style="5" bestFit="1" customWidth="1"/>
    <col min="15" max="15" width="10" style="2" bestFit="1" customWidth="1"/>
    <col min="16" max="16" width="10.109375" style="2" bestFit="1" customWidth="1"/>
    <col min="17" max="17" width="19.109375" bestFit="1" customWidth="1"/>
  </cols>
  <sheetData>
    <row r="1" spans="1:17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  <c r="M1" s="9" t="s">
        <v>12</v>
      </c>
      <c r="N1" s="10" t="s">
        <v>13</v>
      </c>
      <c r="O1" s="9" t="s">
        <v>14</v>
      </c>
      <c r="P1" s="9" t="s">
        <v>15</v>
      </c>
      <c r="Q1" s="6" t="s">
        <v>16</v>
      </c>
    </row>
    <row r="2" spans="1:17">
      <c r="A2" t="s">
        <v>17</v>
      </c>
      <c r="B2" s="1">
        <v>45658</v>
      </c>
      <c r="C2" t="s">
        <v>1517</v>
      </c>
      <c r="D2" t="s">
        <v>1815</v>
      </c>
      <c r="E2" t="s">
        <v>2113</v>
      </c>
      <c r="F2" t="s">
        <v>2116</v>
      </c>
      <c r="G2" t="s">
        <v>2120</v>
      </c>
      <c r="H2" t="s">
        <v>2131</v>
      </c>
      <c r="I2" t="s">
        <v>2142</v>
      </c>
      <c r="J2" t="s">
        <v>2145</v>
      </c>
      <c r="K2" t="s">
        <v>2153</v>
      </c>
      <c r="L2" s="3">
        <v>1</v>
      </c>
      <c r="M2" s="2">
        <v>12337.2</v>
      </c>
      <c r="N2" s="5">
        <v>0.15</v>
      </c>
      <c r="O2" s="2">
        <v>10486.62</v>
      </c>
      <c r="P2" s="2">
        <v>1136.21</v>
      </c>
      <c r="Q2" t="s">
        <v>2167</v>
      </c>
    </row>
    <row r="3" spans="1:17">
      <c r="A3" t="s">
        <v>18</v>
      </c>
      <c r="B3" s="1">
        <v>45658</v>
      </c>
      <c r="C3" t="s">
        <v>1518</v>
      </c>
      <c r="D3" t="s">
        <v>1816</v>
      </c>
      <c r="E3" t="s">
        <v>2114</v>
      </c>
      <c r="F3" t="s">
        <v>2117</v>
      </c>
      <c r="G3" t="s">
        <v>2121</v>
      </c>
      <c r="H3" t="s">
        <v>2132</v>
      </c>
      <c r="I3" t="s">
        <v>2143</v>
      </c>
      <c r="J3" t="s">
        <v>2146</v>
      </c>
      <c r="K3" t="s">
        <v>2154</v>
      </c>
      <c r="L3" s="3">
        <v>2</v>
      </c>
      <c r="M3" s="2">
        <v>40399.040000000001</v>
      </c>
      <c r="N3" s="5">
        <v>0</v>
      </c>
      <c r="O3" s="2">
        <v>80798.080000000002</v>
      </c>
      <c r="P3" s="2">
        <v>7793.27</v>
      </c>
      <c r="Q3" t="s">
        <v>2168</v>
      </c>
    </row>
    <row r="4" spans="1:17">
      <c r="A4" t="s">
        <v>19</v>
      </c>
      <c r="B4" s="1">
        <v>45658</v>
      </c>
      <c r="C4" t="s">
        <v>1519</v>
      </c>
      <c r="D4" t="s">
        <v>1817</v>
      </c>
      <c r="E4" t="s">
        <v>2115</v>
      </c>
      <c r="F4" t="s">
        <v>2118</v>
      </c>
      <c r="G4" t="s">
        <v>2122</v>
      </c>
      <c r="H4" t="s">
        <v>2133</v>
      </c>
      <c r="I4" t="s">
        <v>2144</v>
      </c>
      <c r="J4" t="s">
        <v>2147</v>
      </c>
      <c r="K4" t="s">
        <v>2155</v>
      </c>
      <c r="L4" s="3">
        <v>2</v>
      </c>
      <c r="M4" s="2">
        <v>716.15</v>
      </c>
      <c r="N4" s="5">
        <v>0.2</v>
      </c>
      <c r="O4" s="2">
        <v>1145.8399999999999</v>
      </c>
      <c r="P4" s="2">
        <v>108.76</v>
      </c>
      <c r="Q4" t="s">
        <v>2169</v>
      </c>
    </row>
    <row r="5" spans="1:17">
      <c r="A5" t="s">
        <v>20</v>
      </c>
      <c r="B5" s="1">
        <v>45658</v>
      </c>
      <c r="C5" t="s">
        <v>1520</v>
      </c>
      <c r="D5" t="s">
        <v>1818</v>
      </c>
      <c r="E5" t="s">
        <v>2114</v>
      </c>
      <c r="F5" t="s">
        <v>2117</v>
      </c>
      <c r="G5" t="s">
        <v>2123</v>
      </c>
      <c r="H5" t="s">
        <v>2134</v>
      </c>
      <c r="I5" t="s">
        <v>2143</v>
      </c>
      <c r="J5" t="s">
        <v>2148</v>
      </c>
      <c r="K5" t="s">
        <v>2156</v>
      </c>
      <c r="L5" s="3">
        <v>2</v>
      </c>
      <c r="M5" s="2">
        <v>1257.97</v>
      </c>
      <c r="N5" s="5">
        <v>0.2</v>
      </c>
      <c r="O5" s="2">
        <v>2012.75</v>
      </c>
      <c r="P5" s="2">
        <v>283.99</v>
      </c>
      <c r="Q5" t="s">
        <v>2167</v>
      </c>
    </row>
    <row r="6" spans="1:17">
      <c r="A6" t="s">
        <v>21</v>
      </c>
      <c r="B6" s="1">
        <v>45658</v>
      </c>
      <c r="C6" t="s">
        <v>1521</v>
      </c>
      <c r="D6" t="s">
        <v>1819</v>
      </c>
      <c r="E6" t="s">
        <v>2114</v>
      </c>
      <c r="F6" t="s">
        <v>2119</v>
      </c>
      <c r="G6" t="s">
        <v>2124</v>
      </c>
      <c r="H6" t="s">
        <v>2135</v>
      </c>
      <c r="I6" t="s">
        <v>2142</v>
      </c>
      <c r="J6" t="s">
        <v>2147</v>
      </c>
      <c r="K6" t="s">
        <v>2157</v>
      </c>
      <c r="L6" s="3">
        <v>1</v>
      </c>
      <c r="M6" s="2">
        <v>14399.79</v>
      </c>
      <c r="N6" s="5">
        <v>0.15</v>
      </c>
      <c r="O6" s="2">
        <v>12239.82</v>
      </c>
      <c r="P6" s="2">
        <v>1488.99</v>
      </c>
      <c r="Q6" t="s">
        <v>2167</v>
      </c>
    </row>
    <row r="7" spans="1:17">
      <c r="A7" t="s">
        <v>22</v>
      </c>
      <c r="B7" s="1">
        <v>45659</v>
      </c>
      <c r="C7" t="s">
        <v>1522</v>
      </c>
      <c r="D7" t="s">
        <v>1820</v>
      </c>
      <c r="E7" t="s">
        <v>2114</v>
      </c>
      <c r="F7" t="s">
        <v>2117</v>
      </c>
      <c r="G7" t="s">
        <v>2123</v>
      </c>
      <c r="H7" t="s">
        <v>2134</v>
      </c>
      <c r="I7" t="s">
        <v>2144</v>
      </c>
      <c r="J7" t="s">
        <v>2147</v>
      </c>
      <c r="K7" t="s">
        <v>2155</v>
      </c>
      <c r="L7" s="3">
        <v>1</v>
      </c>
      <c r="M7" s="2">
        <v>778.13</v>
      </c>
      <c r="N7" s="5">
        <v>0</v>
      </c>
      <c r="O7" s="2">
        <v>778.13</v>
      </c>
      <c r="P7" s="2">
        <v>251.8</v>
      </c>
      <c r="Q7" t="s">
        <v>2167</v>
      </c>
    </row>
    <row r="8" spans="1:17">
      <c r="A8" t="s">
        <v>23</v>
      </c>
      <c r="B8" s="1">
        <v>45659</v>
      </c>
      <c r="C8" t="s">
        <v>1523</v>
      </c>
      <c r="D8" t="s">
        <v>1821</v>
      </c>
      <c r="E8" t="s">
        <v>2114</v>
      </c>
      <c r="F8" t="s">
        <v>2117</v>
      </c>
      <c r="G8" t="s">
        <v>2125</v>
      </c>
      <c r="H8" t="s">
        <v>2136</v>
      </c>
      <c r="I8" t="s">
        <v>2143</v>
      </c>
      <c r="J8" t="s">
        <v>2149</v>
      </c>
      <c r="K8" t="s">
        <v>2158</v>
      </c>
      <c r="L8" s="3">
        <v>2</v>
      </c>
      <c r="M8" s="2">
        <v>46098.43</v>
      </c>
      <c r="N8" s="5">
        <v>0</v>
      </c>
      <c r="O8" s="2">
        <v>92196.86</v>
      </c>
      <c r="P8" s="2">
        <v>8970.77</v>
      </c>
      <c r="Q8" t="s">
        <v>2170</v>
      </c>
    </row>
    <row r="9" spans="1:17">
      <c r="A9" t="s">
        <v>24</v>
      </c>
      <c r="B9" s="1">
        <v>45659</v>
      </c>
      <c r="C9" t="s">
        <v>1524</v>
      </c>
      <c r="D9" t="s">
        <v>1822</v>
      </c>
      <c r="E9" t="s">
        <v>2114</v>
      </c>
      <c r="F9" t="s">
        <v>2117</v>
      </c>
      <c r="G9" t="s">
        <v>2123</v>
      </c>
      <c r="H9" t="s">
        <v>2134</v>
      </c>
      <c r="I9" t="s">
        <v>2144</v>
      </c>
      <c r="J9" t="s">
        <v>2150</v>
      </c>
      <c r="K9" t="s">
        <v>2159</v>
      </c>
      <c r="L9" s="3">
        <v>3</v>
      </c>
      <c r="M9" s="2">
        <v>434.16</v>
      </c>
      <c r="N9" s="5">
        <v>0.1</v>
      </c>
      <c r="O9" s="2">
        <v>1172.23</v>
      </c>
      <c r="P9" s="2">
        <v>390.21</v>
      </c>
      <c r="Q9" t="s">
        <v>2169</v>
      </c>
    </row>
    <row r="10" spans="1:17">
      <c r="A10" t="s">
        <v>25</v>
      </c>
      <c r="B10" s="1">
        <v>45660</v>
      </c>
      <c r="C10" t="s">
        <v>1525</v>
      </c>
      <c r="D10" t="s">
        <v>1823</v>
      </c>
      <c r="E10" t="s">
        <v>2114</v>
      </c>
      <c r="F10" t="s">
        <v>2117</v>
      </c>
      <c r="G10" t="s">
        <v>2121</v>
      </c>
      <c r="H10" t="s">
        <v>2132</v>
      </c>
      <c r="I10" t="s">
        <v>2143</v>
      </c>
      <c r="J10" t="s">
        <v>2149</v>
      </c>
      <c r="K10" t="s">
        <v>2158</v>
      </c>
      <c r="L10" s="3">
        <v>3</v>
      </c>
      <c r="M10" s="2">
        <v>48250.63</v>
      </c>
      <c r="N10" s="5">
        <v>0.05</v>
      </c>
      <c r="O10" s="2">
        <v>137514.29999999999</v>
      </c>
      <c r="P10" s="2">
        <v>20572.88</v>
      </c>
      <c r="Q10" t="s">
        <v>2169</v>
      </c>
    </row>
    <row r="11" spans="1:17">
      <c r="A11" t="s">
        <v>26</v>
      </c>
      <c r="B11" s="1">
        <v>45660</v>
      </c>
      <c r="C11" t="s">
        <v>1526</v>
      </c>
      <c r="D11" t="s">
        <v>1824</v>
      </c>
      <c r="E11" t="s">
        <v>2114</v>
      </c>
      <c r="F11" t="s">
        <v>2118</v>
      </c>
      <c r="G11" t="s">
        <v>2122</v>
      </c>
      <c r="H11" t="s">
        <v>2133</v>
      </c>
      <c r="I11" t="s">
        <v>2144</v>
      </c>
      <c r="J11" t="s">
        <v>2150</v>
      </c>
      <c r="K11" t="s">
        <v>2159</v>
      </c>
      <c r="L11" s="3">
        <v>2</v>
      </c>
      <c r="M11" s="2">
        <v>448.97</v>
      </c>
      <c r="N11" s="5">
        <v>0.05</v>
      </c>
      <c r="O11" s="2">
        <v>853.04</v>
      </c>
      <c r="P11" s="2">
        <v>248.53</v>
      </c>
      <c r="Q11" t="s">
        <v>2170</v>
      </c>
    </row>
    <row r="12" spans="1:17">
      <c r="A12" t="s">
        <v>27</v>
      </c>
      <c r="B12" s="1">
        <v>45660</v>
      </c>
      <c r="C12" t="s">
        <v>1527</v>
      </c>
      <c r="D12" t="s">
        <v>1825</v>
      </c>
      <c r="E12" t="s">
        <v>2114</v>
      </c>
      <c r="F12" t="s">
        <v>2117</v>
      </c>
      <c r="G12" t="s">
        <v>2125</v>
      </c>
      <c r="H12" t="s">
        <v>2136</v>
      </c>
      <c r="I12" t="s">
        <v>2142</v>
      </c>
      <c r="J12" t="s">
        <v>2151</v>
      </c>
      <c r="K12" t="s">
        <v>2160</v>
      </c>
      <c r="L12" s="3">
        <v>3</v>
      </c>
      <c r="M12" s="2">
        <v>8866.1</v>
      </c>
      <c r="N12" s="5">
        <v>0.1</v>
      </c>
      <c r="O12" s="2">
        <v>23938.47</v>
      </c>
      <c r="P12" s="2">
        <v>5118.76</v>
      </c>
      <c r="Q12" t="s">
        <v>2170</v>
      </c>
    </row>
    <row r="13" spans="1:17">
      <c r="A13" t="s">
        <v>28</v>
      </c>
      <c r="B13" s="1">
        <v>45660</v>
      </c>
      <c r="C13" t="s">
        <v>1528</v>
      </c>
      <c r="D13" t="s">
        <v>1826</v>
      </c>
      <c r="E13" t="s">
        <v>2114</v>
      </c>
      <c r="F13" t="s">
        <v>2118</v>
      </c>
      <c r="G13" t="s">
        <v>2126</v>
      </c>
      <c r="H13" t="s">
        <v>2137</v>
      </c>
      <c r="I13" t="s">
        <v>2143</v>
      </c>
      <c r="J13" t="s">
        <v>2148</v>
      </c>
      <c r="K13" t="s">
        <v>2161</v>
      </c>
      <c r="L13" s="3">
        <v>1</v>
      </c>
      <c r="M13" s="2">
        <v>1744.13</v>
      </c>
      <c r="N13" s="5">
        <v>0</v>
      </c>
      <c r="O13" s="2">
        <v>1744.13</v>
      </c>
      <c r="P13" s="2">
        <v>147.29</v>
      </c>
      <c r="Q13" t="s">
        <v>2169</v>
      </c>
    </row>
    <row r="14" spans="1:17">
      <c r="A14" t="s">
        <v>29</v>
      </c>
      <c r="B14" s="1">
        <v>45660</v>
      </c>
      <c r="C14" t="s">
        <v>1529</v>
      </c>
      <c r="D14" t="s">
        <v>1827</v>
      </c>
      <c r="E14" t="s">
        <v>2115</v>
      </c>
      <c r="F14" t="s">
        <v>2116</v>
      </c>
      <c r="G14" t="s">
        <v>2127</v>
      </c>
      <c r="H14" t="s">
        <v>2138</v>
      </c>
      <c r="I14" t="s">
        <v>2142</v>
      </c>
      <c r="J14" t="s">
        <v>2145</v>
      </c>
      <c r="K14" t="s">
        <v>2153</v>
      </c>
      <c r="L14" s="3">
        <v>2</v>
      </c>
      <c r="M14" s="2">
        <v>11430.69</v>
      </c>
      <c r="N14" s="5">
        <v>0</v>
      </c>
      <c r="O14" s="2">
        <v>22861.38</v>
      </c>
      <c r="P14" s="2">
        <v>5657.58</v>
      </c>
      <c r="Q14" t="s">
        <v>2169</v>
      </c>
    </row>
    <row r="15" spans="1:17">
      <c r="A15" t="s">
        <v>30</v>
      </c>
      <c r="B15" s="1">
        <v>45660</v>
      </c>
      <c r="C15" t="s">
        <v>1530</v>
      </c>
      <c r="D15" t="s">
        <v>1828</v>
      </c>
      <c r="E15" t="s">
        <v>2114</v>
      </c>
      <c r="F15" t="s">
        <v>2118</v>
      </c>
      <c r="G15" t="s">
        <v>2128</v>
      </c>
      <c r="H15" t="s">
        <v>2128</v>
      </c>
      <c r="I15" t="s">
        <v>2144</v>
      </c>
      <c r="J15" t="s">
        <v>2150</v>
      </c>
      <c r="K15" t="s">
        <v>2159</v>
      </c>
      <c r="L15" s="3">
        <v>4</v>
      </c>
      <c r="M15" s="2">
        <v>451.09</v>
      </c>
      <c r="N15" s="5">
        <v>0.15</v>
      </c>
      <c r="O15" s="2">
        <v>1533.71</v>
      </c>
      <c r="P15" s="2">
        <v>270.27999999999997</v>
      </c>
      <c r="Q15" t="s">
        <v>2167</v>
      </c>
    </row>
    <row r="16" spans="1:17">
      <c r="A16" t="s">
        <v>31</v>
      </c>
      <c r="B16" s="1">
        <v>45661</v>
      </c>
      <c r="C16" t="s">
        <v>1531</v>
      </c>
      <c r="D16" t="s">
        <v>1829</v>
      </c>
      <c r="E16" t="s">
        <v>2114</v>
      </c>
      <c r="F16" t="s">
        <v>2116</v>
      </c>
      <c r="G16" t="s">
        <v>2120</v>
      </c>
      <c r="H16" t="s">
        <v>2131</v>
      </c>
      <c r="I16" t="s">
        <v>2144</v>
      </c>
      <c r="J16" t="s">
        <v>2152</v>
      </c>
      <c r="K16" t="s">
        <v>2162</v>
      </c>
      <c r="L16" s="3">
        <v>4</v>
      </c>
      <c r="M16" s="2">
        <v>347.94</v>
      </c>
      <c r="N16" s="5">
        <v>0.1</v>
      </c>
      <c r="O16" s="2">
        <v>1252.58</v>
      </c>
      <c r="P16" s="2">
        <v>258.77</v>
      </c>
      <c r="Q16" t="s">
        <v>2167</v>
      </c>
    </row>
    <row r="17" spans="1:17">
      <c r="A17" t="s">
        <v>32</v>
      </c>
      <c r="B17" s="1">
        <v>45661</v>
      </c>
      <c r="C17" t="s">
        <v>1519</v>
      </c>
      <c r="D17" t="s">
        <v>1817</v>
      </c>
      <c r="E17" t="s">
        <v>2114</v>
      </c>
      <c r="F17" t="s">
        <v>2119</v>
      </c>
      <c r="G17" t="s">
        <v>2129</v>
      </c>
      <c r="H17" t="s">
        <v>2139</v>
      </c>
      <c r="I17" t="s">
        <v>2143</v>
      </c>
      <c r="J17" t="s">
        <v>2149</v>
      </c>
      <c r="K17" t="s">
        <v>2163</v>
      </c>
      <c r="L17" s="3">
        <v>4</v>
      </c>
      <c r="M17" s="2">
        <v>66473.87</v>
      </c>
      <c r="N17" s="5">
        <v>0</v>
      </c>
      <c r="O17" s="2">
        <v>265895.48</v>
      </c>
      <c r="P17" s="2">
        <v>50080.58</v>
      </c>
      <c r="Q17" t="s">
        <v>2168</v>
      </c>
    </row>
    <row r="18" spans="1:17">
      <c r="A18" t="s">
        <v>33</v>
      </c>
      <c r="B18" s="1">
        <v>45661</v>
      </c>
      <c r="C18" t="s">
        <v>1532</v>
      </c>
      <c r="D18" t="s">
        <v>1830</v>
      </c>
      <c r="E18" t="s">
        <v>2114</v>
      </c>
      <c r="F18" t="s">
        <v>2119</v>
      </c>
      <c r="G18" t="s">
        <v>2124</v>
      </c>
      <c r="H18" t="s">
        <v>2135</v>
      </c>
      <c r="I18" t="s">
        <v>2144</v>
      </c>
      <c r="J18" t="s">
        <v>2150</v>
      </c>
      <c r="K18" t="s">
        <v>2159</v>
      </c>
      <c r="L18" s="3">
        <v>1</v>
      </c>
      <c r="M18" s="2">
        <v>455.71</v>
      </c>
      <c r="N18" s="5">
        <v>0</v>
      </c>
      <c r="O18" s="2">
        <v>455.71</v>
      </c>
      <c r="P18" s="2">
        <v>75.069999999999993</v>
      </c>
      <c r="Q18" t="s">
        <v>2167</v>
      </c>
    </row>
    <row r="19" spans="1:17">
      <c r="A19" t="s">
        <v>34</v>
      </c>
      <c r="B19" s="1">
        <v>45662</v>
      </c>
      <c r="C19" t="s">
        <v>1533</v>
      </c>
      <c r="D19" t="s">
        <v>1831</v>
      </c>
      <c r="E19" t="s">
        <v>2114</v>
      </c>
      <c r="F19" t="s">
        <v>2118</v>
      </c>
      <c r="G19" t="s">
        <v>2126</v>
      </c>
      <c r="H19" t="s">
        <v>2137</v>
      </c>
      <c r="I19" t="s">
        <v>2143</v>
      </c>
      <c r="J19" t="s">
        <v>2146</v>
      </c>
      <c r="K19" t="s">
        <v>2154</v>
      </c>
      <c r="L19" s="3">
        <v>2</v>
      </c>
      <c r="M19" s="2">
        <v>43217.45</v>
      </c>
      <c r="N19" s="5">
        <v>0.1</v>
      </c>
      <c r="O19" s="2">
        <v>77791.41</v>
      </c>
      <c r="P19" s="2">
        <v>11408.47</v>
      </c>
      <c r="Q19" t="s">
        <v>2167</v>
      </c>
    </row>
    <row r="20" spans="1:17">
      <c r="A20" t="s">
        <v>35</v>
      </c>
      <c r="B20" s="1">
        <v>45662</v>
      </c>
      <c r="C20" t="s">
        <v>1534</v>
      </c>
      <c r="D20" t="s">
        <v>1832</v>
      </c>
      <c r="E20" t="s">
        <v>2115</v>
      </c>
      <c r="F20" t="s">
        <v>2119</v>
      </c>
      <c r="G20" t="s">
        <v>2124</v>
      </c>
      <c r="H20" t="s">
        <v>2135</v>
      </c>
      <c r="I20" t="s">
        <v>2143</v>
      </c>
      <c r="J20" t="s">
        <v>2148</v>
      </c>
      <c r="K20" t="s">
        <v>2156</v>
      </c>
      <c r="L20" s="3">
        <v>1</v>
      </c>
      <c r="M20" s="2">
        <v>1229.54</v>
      </c>
      <c r="N20" s="5">
        <v>0</v>
      </c>
      <c r="O20" s="2">
        <v>1229.54</v>
      </c>
      <c r="P20" s="2">
        <v>236.42</v>
      </c>
      <c r="Q20" t="s">
        <v>2168</v>
      </c>
    </row>
    <row r="21" spans="1:17">
      <c r="A21" t="s">
        <v>36</v>
      </c>
      <c r="B21" s="1">
        <v>45663</v>
      </c>
      <c r="C21" t="s">
        <v>1535</v>
      </c>
      <c r="D21" t="s">
        <v>1833</v>
      </c>
      <c r="E21" t="s">
        <v>2113</v>
      </c>
      <c r="F21" t="s">
        <v>2116</v>
      </c>
      <c r="G21" t="s">
        <v>2127</v>
      </c>
      <c r="H21" t="s">
        <v>2140</v>
      </c>
      <c r="I21" t="s">
        <v>2143</v>
      </c>
      <c r="J21" t="s">
        <v>2148</v>
      </c>
      <c r="K21" t="s">
        <v>2156</v>
      </c>
      <c r="L21" s="3">
        <v>3</v>
      </c>
      <c r="M21" s="2">
        <v>1259.3499999999999</v>
      </c>
      <c r="N21" s="5">
        <v>0</v>
      </c>
      <c r="O21" s="2">
        <v>3778.05</v>
      </c>
      <c r="P21" s="2">
        <v>550.80999999999995</v>
      </c>
      <c r="Q21" t="s">
        <v>2168</v>
      </c>
    </row>
    <row r="22" spans="1:17">
      <c r="A22" t="s">
        <v>37</v>
      </c>
      <c r="B22" s="1">
        <v>45663</v>
      </c>
      <c r="C22" t="s">
        <v>1530</v>
      </c>
      <c r="D22" t="s">
        <v>1828</v>
      </c>
      <c r="E22" t="s">
        <v>2113</v>
      </c>
      <c r="F22" t="s">
        <v>2118</v>
      </c>
      <c r="G22" t="s">
        <v>2126</v>
      </c>
      <c r="H22" t="s">
        <v>2137</v>
      </c>
      <c r="I22" t="s">
        <v>2143</v>
      </c>
      <c r="J22" t="s">
        <v>2149</v>
      </c>
      <c r="K22" t="s">
        <v>2158</v>
      </c>
      <c r="L22" s="3">
        <v>2</v>
      </c>
      <c r="M22" s="2">
        <v>48061.61</v>
      </c>
      <c r="N22" s="5">
        <v>0</v>
      </c>
      <c r="O22" s="2">
        <v>96123.22</v>
      </c>
      <c r="P22" s="2">
        <v>12309.74</v>
      </c>
      <c r="Q22" t="s">
        <v>2167</v>
      </c>
    </row>
    <row r="23" spans="1:17">
      <c r="A23" t="s">
        <v>38</v>
      </c>
      <c r="B23" s="1">
        <v>45664</v>
      </c>
      <c r="C23" t="s">
        <v>1536</v>
      </c>
      <c r="D23" t="s">
        <v>1834</v>
      </c>
      <c r="E23" t="s">
        <v>2114</v>
      </c>
      <c r="F23" t="s">
        <v>2119</v>
      </c>
      <c r="G23" t="s">
        <v>2124</v>
      </c>
      <c r="H23" t="s">
        <v>2135</v>
      </c>
      <c r="I23" t="s">
        <v>2144</v>
      </c>
      <c r="J23" t="s">
        <v>2152</v>
      </c>
      <c r="K23" t="s">
        <v>2162</v>
      </c>
      <c r="L23" s="3">
        <v>4</v>
      </c>
      <c r="M23" s="2">
        <v>357.66</v>
      </c>
      <c r="N23" s="5">
        <v>0.1</v>
      </c>
      <c r="O23" s="2">
        <v>1287.58</v>
      </c>
      <c r="P23" s="2">
        <v>232.92</v>
      </c>
      <c r="Q23" t="s">
        <v>2168</v>
      </c>
    </row>
    <row r="24" spans="1:17">
      <c r="A24" t="s">
        <v>39</v>
      </c>
      <c r="B24" s="1">
        <v>45664</v>
      </c>
      <c r="C24" t="s">
        <v>1537</v>
      </c>
      <c r="D24" t="s">
        <v>1835</v>
      </c>
      <c r="E24" t="s">
        <v>2114</v>
      </c>
      <c r="F24" t="s">
        <v>2119</v>
      </c>
      <c r="G24" t="s">
        <v>2124</v>
      </c>
      <c r="H24" t="s">
        <v>2135</v>
      </c>
      <c r="I24" t="s">
        <v>2144</v>
      </c>
      <c r="J24" t="s">
        <v>2147</v>
      </c>
      <c r="K24" t="s">
        <v>2155</v>
      </c>
      <c r="L24" s="3">
        <v>1</v>
      </c>
      <c r="M24" s="2">
        <v>778.14</v>
      </c>
      <c r="N24" s="5">
        <v>0.05</v>
      </c>
      <c r="O24" s="2">
        <v>739.23</v>
      </c>
      <c r="P24" s="2">
        <v>153.32</v>
      </c>
      <c r="Q24" t="s">
        <v>2170</v>
      </c>
    </row>
    <row r="25" spans="1:17">
      <c r="A25" t="s">
        <v>40</v>
      </c>
      <c r="B25" s="1">
        <v>45664</v>
      </c>
      <c r="C25" t="s">
        <v>1538</v>
      </c>
      <c r="D25" t="s">
        <v>1836</v>
      </c>
      <c r="E25" t="s">
        <v>2114</v>
      </c>
      <c r="F25" t="s">
        <v>2117</v>
      </c>
      <c r="G25" t="s">
        <v>2121</v>
      </c>
      <c r="H25" t="s">
        <v>2132</v>
      </c>
      <c r="I25" t="s">
        <v>2143</v>
      </c>
      <c r="J25" t="s">
        <v>2148</v>
      </c>
      <c r="K25" t="s">
        <v>2161</v>
      </c>
      <c r="L25" s="3">
        <v>1</v>
      </c>
      <c r="M25" s="2">
        <v>1735.25</v>
      </c>
      <c r="N25" s="5">
        <v>0.15</v>
      </c>
      <c r="O25" s="2">
        <v>1474.96</v>
      </c>
      <c r="P25" s="2">
        <v>174.09</v>
      </c>
      <c r="Q25" t="s">
        <v>2168</v>
      </c>
    </row>
    <row r="26" spans="1:17">
      <c r="A26" t="s">
        <v>41</v>
      </c>
      <c r="B26" s="1">
        <v>45664</v>
      </c>
      <c r="C26" t="s">
        <v>1539</v>
      </c>
      <c r="D26" t="s">
        <v>1837</v>
      </c>
      <c r="E26" t="s">
        <v>2114</v>
      </c>
      <c r="F26" t="s">
        <v>2117</v>
      </c>
      <c r="G26" t="s">
        <v>2121</v>
      </c>
      <c r="H26" t="s">
        <v>2132</v>
      </c>
      <c r="I26" t="s">
        <v>2143</v>
      </c>
      <c r="J26" t="s">
        <v>2149</v>
      </c>
      <c r="K26" t="s">
        <v>2163</v>
      </c>
      <c r="L26" s="3">
        <v>1</v>
      </c>
      <c r="M26" s="2">
        <v>67484.55</v>
      </c>
      <c r="N26" s="5">
        <v>0.05</v>
      </c>
      <c r="O26" s="2">
        <v>64110.32</v>
      </c>
      <c r="P26" s="2">
        <v>12764.74</v>
      </c>
      <c r="Q26" t="s">
        <v>2169</v>
      </c>
    </row>
    <row r="27" spans="1:17">
      <c r="A27" t="s">
        <v>42</v>
      </c>
      <c r="B27" s="1">
        <v>45664</v>
      </c>
      <c r="C27" t="s">
        <v>1540</v>
      </c>
      <c r="D27" t="s">
        <v>1838</v>
      </c>
      <c r="E27" t="s">
        <v>2114</v>
      </c>
      <c r="F27" t="s">
        <v>2118</v>
      </c>
      <c r="G27" t="s">
        <v>2122</v>
      </c>
      <c r="H27" t="s">
        <v>2133</v>
      </c>
      <c r="I27" t="s">
        <v>2143</v>
      </c>
      <c r="J27" t="s">
        <v>2149</v>
      </c>
      <c r="K27" t="s">
        <v>2163</v>
      </c>
      <c r="L27" s="3">
        <v>2</v>
      </c>
      <c r="M27" s="2">
        <v>65211.13</v>
      </c>
      <c r="N27" s="5">
        <v>0.1</v>
      </c>
      <c r="O27" s="2">
        <v>117380.03</v>
      </c>
      <c r="P27" s="2">
        <v>19657.3</v>
      </c>
      <c r="Q27" t="s">
        <v>2170</v>
      </c>
    </row>
    <row r="28" spans="1:17">
      <c r="A28" t="s">
        <v>43</v>
      </c>
      <c r="B28" s="1">
        <v>45664</v>
      </c>
      <c r="C28" t="s">
        <v>1541</v>
      </c>
      <c r="D28" t="s">
        <v>1839</v>
      </c>
      <c r="E28" t="s">
        <v>2114</v>
      </c>
      <c r="F28" t="s">
        <v>2119</v>
      </c>
      <c r="G28" t="s">
        <v>2124</v>
      </c>
      <c r="H28" t="s">
        <v>2135</v>
      </c>
      <c r="I28" t="s">
        <v>2144</v>
      </c>
      <c r="J28" t="s">
        <v>2147</v>
      </c>
      <c r="K28" t="s">
        <v>2155</v>
      </c>
      <c r="L28" s="3">
        <v>4</v>
      </c>
      <c r="M28" s="2">
        <v>751.35</v>
      </c>
      <c r="N28" s="5">
        <v>0.1</v>
      </c>
      <c r="O28" s="2">
        <v>2704.86</v>
      </c>
      <c r="P28" s="2">
        <v>725.68</v>
      </c>
      <c r="Q28" t="s">
        <v>2167</v>
      </c>
    </row>
    <row r="29" spans="1:17">
      <c r="A29" t="s">
        <v>44</v>
      </c>
      <c r="B29" s="1">
        <v>45665</v>
      </c>
      <c r="C29" t="s">
        <v>1542</v>
      </c>
      <c r="D29" t="s">
        <v>1840</v>
      </c>
      <c r="E29" t="s">
        <v>2114</v>
      </c>
      <c r="F29" t="s">
        <v>2119</v>
      </c>
      <c r="G29" t="s">
        <v>2129</v>
      </c>
      <c r="H29" t="s">
        <v>2139</v>
      </c>
      <c r="I29" t="s">
        <v>2142</v>
      </c>
      <c r="J29" t="s">
        <v>2145</v>
      </c>
      <c r="K29" t="s">
        <v>2153</v>
      </c>
      <c r="L29" s="3">
        <v>2</v>
      </c>
      <c r="M29" s="2">
        <v>12399.43</v>
      </c>
      <c r="N29" s="5">
        <v>0.05</v>
      </c>
      <c r="O29" s="2">
        <v>23558.92</v>
      </c>
      <c r="P29" s="2">
        <v>2785.61</v>
      </c>
      <c r="Q29" t="s">
        <v>2170</v>
      </c>
    </row>
    <row r="30" spans="1:17">
      <c r="A30" t="s">
        <v>45</v>
      </c>
      <c r="B30" s="1">
        <v>45665</v>
      </c>
      <c r="C30" t="s">
        <v>1543</v>
      </c>
      <c r="D30" t="s">
        <v>1841</v>
      </c>
      <c r="E30" t="s">
        <v>2113</v>
      </c>
      <c r="F30" t="s">
        <v>2117</v>
      </c>
      <c r="G30" t="s">
        <v>2125</v>
      </c>
      <c r="H30" t="s">
        <v>2136</v>
      </c>
      <c r="I30" t="s">
        <v>2143</v>
      </c>
      <c r="J30" t="s">
        <v>2146</v>
      </c>
      <c r="K30" t="s">
        <v>2164</v>
      </c>
      <c r="L30" s="3">
        <v>2</v>
      </c>
      <c r="M30" s="2">
        <v>17316.29</v>
      </c>
      <c r="N30" s="5">
        <v>0</v>
      </c>
      <c r="O30" s="2">
        <v>34632.58</v>
      </c>
      <c r="P30" s="2">
        <v>5362.43</v>
      </c>
      <c r="Q30" t="s">
        <v>2170</v>
      </c>
    </row>
    <row r="31" spans="1:17">
      <c r="A31" t="s">
        <v>46</v>
      </c>
      <c r="B31" s="1">
        <v>45665</v>
      </c>
      <c r="C31" t="s">
        <v>1544</v>
      </c>
      <c r="D31" t="s">
        <v>1842</v>
      </c>
      <c r="E31" t="s">
        <v>2115</v>
      </c>
      <c r="F31" t="s">
        <v>2116</v>
      </c>
      <c r="G31" t="s">
        <v>2127</v>
      </c>
      <c r="H31" t="s">
        <v>2138</v>
      </c>
      <c r="I31" t="s">
        <v>2143</v>
      </c>
      <c r="J31" t="s">
        <v>2146</v>
      </c>
      <c r="K31" t="s">
        <v>2164</v>
      </c>
      <c r="L31" s="3">
        <v>1</v>
      </c>
      <c r="M31" s="2">
        <v>18404.2</v>
      </c>
      <c r="N31" s="5">
        <v>0</v>
      </c>
      <c r="O31" s="2">
        <v>18404.2</v>
      </c>
      <c r="P31" s="2">
        <v>2274.9699999999998</v>
      </c>
      <c r="Q31" t="s">
        <v>2168</v>
      </c>
    </row>
    <row r="32" spans="1:17">
      <c r="A32" t="s">
        <v>47</v>
      </c>
      <c r="B32" s="1">
        <v>45665</v>
      </c>
      <c r="C32" t="s">
        <v>1517</v>
      </c>
      <c r="D32" t="s">
        <v>1815</v>
      </c>
      <c r="E32" t="s">
        <v>2113</v>
      </c>
      <c r="F32" t="s">
        <v>2117</v>
      </c>
      <c r="G32" t="s">
        <v>2123</v>
      </c>
      <c r="H32" t="s">
        <v>2134</v>
      </c>
      <c r="I32" t="s">
        <v>2142</v>
      </c>
      <c r="J32" t="s">
        <v>2147</v>
      </c>
      <c r="K32" t="s">
        <v>2157</v>
      </c>
      <c r="L32" s="3">
        <v>1</v>
      </c>
      <c r="M32" s="2">
        <v>14442.17</v>
      </c>
      <c r="N32" s="5">
        <v>0.1</v>
      </c>
      <c r="O32" s="2">
        <v>12997.95</v>
      </c>
      <c r="P32" s="2">
        <v>2515.8200000000002</v>
      </c>
      <c r="Q32" t="s">
        <v>2170</v>
      </c>
    </row>
    <row r="33" spans="1:17">
      <c r="A33" t="s">
        <v>48</v>
      </c>
      <c r="B33" s="1">
        <v>45665</v>
      </c>
      <c r="C33" t="s">
        <v>1545</v>
      </c>
      <c r="D33" t="s">
        <v>1843</v>
      </c>
      <c r="E33" t="s">
        <v>2114</v>
      </c>
      <c r="F33" t="s">
        <v>2118</v>
      </c>
      <c r="G33" t="s">
        <v>2126</v>
      </c>
      <c r="H33" t="s">
        <v>2137</v>
      </c>
      <c r="I33" t="s">
        <v>2143</v>
      </c>
      <c r="J33" t="s">
        <v>2149</v>
      </c>
      <c r="K33" t="s">
        <v>2158</v>
      </c>
      <c r="L33" s="3">
        <v>3</v>
      </c>
      <c r="M33" s="2">
        <v>50071.41</v>
      </c>
      <c r="N33" s="5">
        <v>0.05</v>
      </c>
      <c r="O33" s="2">
        <v>142703.51999999999</v>
      </c>
      <c r="P33" s="2">
        <v>11568.59</v>
      </c>
      <c r="Q33" t="s">
        <v>2169</v>
      </c>
    </row>
    <row r="34" spans="1:17">
      <c r="A34" t="s">
        <v>49</v>
      </c>
      <c r="B34" s="1">
        <v>45665</v>
      </c>
      <c r="C34" t="s">
        <v>1546</v>
      </c>
      <c r="D34" t="s">
        <v>1844</v>
      </c>
      <c r="E34" t="s">
        <v>2114</v>
      </c>
      <c r="F34" t="s">
        <v>2117</v>
      </c>
      <c r="G34" t="s">
        <v>2121</v>
      </c>
      <c r="H34" t="s">
        <v>2132</v>
      </c>
      <c r="I34" t="s">
        <v>2143</v>
      </c>
      <c r="J34" t="s">
        <v>2146</v>
      </c>
      <c r="K34" t="s">
        <v>2164</v>
      </c>
      <c r="L34" s="3">
        <v>5</v>
      </c>
      <c r="M34" s="2">
        <v>17334.580000000002</v>
      </c>
      <c r="N34" s="5">
        <v>0.05</v>
      </c>
      <c r="O34" s="2">
        <v>82339.259999999995</v>
      </c>
      <c r="P34" s="2">
        <v>7865.48</v>
      </c>
      <c r="Q34" t="s">
        <v>2167</v>
      </c>
    </row>
    <row r="35" spans="1:17">
      <c r="A35" t="s">
        <v>50</v>
      </c>
      <c r="B35" s="1">
        <v>45665</v>
      </c>
      <c r="C35" t="s">
        <v>1547</v>
      </c>
      <c r="D35" t="s">
        <v>1845</v>
      </c>
      <c r="E35" t="s">
        <v>2114</v>
      </c>
      <c r="F35" t="s">
        <v>2118</v>
      </c>
      <c r="G35" t="s">
        <v>2122</v>
      </c>
      <c r="H35" t="s">
        <v>2133</v>
      </c>
      <c r="I35" t="s">
        <v>2142</v>
      </c>
      <c r="J35" t="s">
        <v>2147</v>
      </c>
      <c r="K35" t="s">
        <v>2157</v>
      </c>
      <c r="L35" s="3">
        <v>2</v>
      </c>
      <c r="M35" s="2">
        <v>14943.19</v>
      </c>
      <c r="N35" s="5">
        <v>0.15</v>
      </c>
      <c r="O35" s="2">
        <v>25403.42</v>
      </c>
      <c r="P35" s="2">
        <v>3363.74</v>
      </c>
      <c r="Q35" t="s">
        <v>2167</v>
      </c>
    </row>
    <row r="36" spans="1:17">
      <c r="A36" t="s">
        <v>51</v>
      </c>
      <c r="B36" s="1">
        <v>45665</v>
      </c>
      <c r="C36" t="s">
        <v>1548</v>
      </c>
      <c r="D36" t="s">
        <v>1846</v>
      </c>
      <c r="E36" t="s">
        <v>2113</v>
      </c>
      <c r="F36" t="s">
        <v>2117</v>
      </c>
      <c r="G36" t="s">
        <v>2125</v>
      </c>
      <c r="H36" t="s">
        <v>2136</v>
      </c>
      <c r="I36" t="s">
        <v>2144</v>
      </c>
      <c r="J36" t="s">
        <v>2147</v>
      </c>
      <c r="K36" t="s">
        <v>2155</v>
      </c>
      <c r="L36" s="3">
        <v>1</v>
      </c>
      <c r="M36" s="2">
        <v>771.94</v>
      </c>
      <c r="N36" s="5">
        <v>0.05</v>
      </c>
      <c r="O36" s="2">
        <v>733.34</v>
      </c>
      <c r="P36" s="2">
        <v>167.31</v>
      </c>
      <c r="Q36" t="s">
        <v>2170</v>
      </c>
    </row>
    <row r="37" spans="1:17">
      <c r="A37" t="s">
        <v>52</v>
      </c>
      <c r="B37" s="1">
        <v>45665</v>
      </c>
      <c r="C37" t="s">
        <v>1549</v>
      </c>
      <c r="D37" t="s">
        <v>1847</v>
      </c>
      <c r="E37" t="s">
        <v>2114</v>
      </c>
      <c r="F37" t="s">
        <v>2117</v>
      </c>
      <c r="G37" t="s">
        <v>2125</v>
      </c>
      <c r="H37" t="s">
        <v>2136</v>
      </c>
      <c r="I37" t="s">
        <v>2142</v>
      </c>
      <c r="J37" t="s">
        <v>2145</v>
      </c>
      <c r="K37" t="s">
        <v>2165</v>
      </c>
      <c r="L37" s="3">
        <v>2</v>
      </c>
      <c r="M37" s="2">
        <v>6512.55</v>
      </c>
      <c r="N37" s="5">
        <v>0.05</v>
      </c>
      <c r="O37" s="2">
        <v>12373.84</v>
      </c>
      <c r="P37" s="2">
        <v>1689.58</v>
      </c>
      <c r="Q37" t="s">
        <v>2170</v>
      </c>
    </row>
    <row r="38" spans="1:17">
      <c r="A38" t="s">
        <v>53</v>
      </c>
      <c r="B38" s="1">
        <v>45666</v>
      </c>
      <c r="C38" t="s">
        <v>1550</v>
      </c>
      <c r="D38" t="s">
        <v>1848</v>
      </c>
      <c r="E38" t="s">
        <v>2113</v>
      </c>
      <c r="F38" t="s">
        <v>2117</v>
      </c>
      <c r="G38" t="s">
        <v>2125</v>
      </c>
      <c r="H38" t="s">
        <v>2136</v>
      </c>
      <c r="I38" t="s">
        <v>2143</v>
      </c>
      <c r="J38" t="s">
        <v>2149</v>
      </c>
      <c r="K38" t="s">
        <v>2158</v>
      </c>
      <c r="L38" s="3">
        <v>4</v>
      </c>
      <c r="M38" s="2">
        <v>49056.76</v>
      </c>
      <c r="N38" s="5">
        <v>0.2</v>
      </c>
      <c r="O38" s="2">
        <v>156981.63</v>
      </c>
      <c r="P38" s="2">
        <v>3509.87</v>
      </c>
      <c r="Q38" t="s">
        <v>2169</v>
      </c>
    </row>
    <row r="39" spans="1:17">
      <c r="A39" t="s">
        <v>54</v>
      </c>
      <c r="B39" s="1">
        <v>45666</v>
      </c>
      <c r="C39" t="s">
        <v>1551</v>
      </c>
      <c r="D39" t="s">
        <v>1849</v>
      </c>
      <c r="E39" t="s">
        <v>2115</v>
      </c>
      <c r="F39" t="s">
        <v>2117</v>
      </c>
      <c r="G39" t="s">
        <v>2125</v>
      </c>
      <c r="H39" t="s">
        <v>2171</v>
      </c>
      <c r="I39" t="s">
        <v>2144</v>
      </c>
      <c r="J39" t="s">
        <v>2150</v>
      </c>
      <c r="K39" t="s">
        <v>2159</v>
      </c>
      <c r="L39" s="3">
        <v>1</v>
      </c>
      <c r="M39" s="2">
        <v>445.73</v>
      </c>
      <c r="N39" s="5">
        <v>0.05</v>
      </c>
      <c r="O39" s="2">
        <v>423.44</v>
      </c>
      <c r="P39" s="2">
        <v>78.31</v>
      </c>
      <c r="Q39" t="s">
        <v>2167</v>
      </c>
    </row>
    <row r="40" spans="1:17">
      <c r="A40" t="s">
        <v>55</v>
      </c>
      <c r="B40" s="1">
        <v>45667</v>
      </c>
      <c r="C40" t="s">
        <v>1552</v>
      </c>
      <c r="D40" t="s">
        <v>1850</v>
      </c>
      <c r="E40" t="s">
        <v>2115</v>
      </c>
      <c r="F40" t="s">
        <v>2116</v>
      </c>
      <c r="G40" t="s">
        <v>2127</v>
      </c>
      <c r="H40" t="s">
        <v>2140</v>
      </c>
      <c r="I40" t="s">
        <v>2144</v>
      </c>
      <c r="J40" t="s">
        <v>2150</v>
      </c>
      <c r="K40" t="s">
        <v>2159</v>
      </c>
      <c r="L40" s="3">
        <v>2</v>
      </c>
      <c r="M40" s="2">
        <v>467.29</v>
      </c>
      <c r="N40" s="5">
        <v>0.15</v>
      </c>
      <c r="O40" s="2">
        <v>794.39</v>
      </c>
      <c r="P40" s="2">
        <v>137.16</v>
      </c>
      <c r="Q40" t="s">
        <v>2170</v>
      </c>
    </row>
    <row r="41" spans="1:17">
      <c r="A41" t="s">
        <v>56</v>
      </c>
      <c r="B41" s="1">
        <v>45667</v>
      </c>
      <c r="C41" t="s">
        <v>1553</v>
      </c>
      <c r="D41" t="s">
        <v>1851</v>
      </c>
      <c r="E41" t="s">
        <v>2114</v>
      </c>
      <c r="F41" t="s">
        <v>2118</v>
      </c>
      <c r="G41" t="s">
        <v>2128</v>
      </c>
      <c r="H41" t="s">
        <v>2128</v>
      </c>
      <c r="I41" t="s">
        <v>2143</v>
      </c>
      <c r="J41" t="s">
        <v>2146</v>
      </c>
      <c r="K41" t="s">
        <v>2164</v>
      </c>
      <c r="L41" s="3">
        <v>3</v>
      </c>
      <c r="M41" s="2">
        <v>18713.310000000001</v>
      </c>
      <c r="N41" s="5">
        <v>0</v>
      </c>
      <c r="O41" s="2">
        <v>56139.93</v>
      </c>
      <c r="P41" s="2">
        <v>7670.33</v>
      </c>
      <c r="Q41" t="s">
        <v>2167</v>
      </c>
    </row>
    <row r="42" spans="1:17">
      <c r="A42" t="s">
        <v>57</v>
      </c>
      <c r="B42" s="1">
        <v>45667</v>
      </c>
      <c r="C42" t="s">
        <v>1554</v>
      </c>
      <c r="D42" t="s">
        <v>1852</v>
      </c>
      <c r="E42" t="s">
        <v>2114</v>
      </c>
      <c r="F42" t="s">
        <v>2118</v>
      </c>
      <c r="G42" t="s">
        <v>2126</v>
      </c>
      <c r="H42" t="s">
        <v>2137</v>
      </c>
      <c r="I42" t="s">
        <v>2142</v>
      </c>
      <c r="J42" t="s">
        <v>2145</v>
      </c>
      <c r="K42" t="s">
        <v>2165</v>
      </c>
      <c r="L42" s="3">
        <v>4</v>
      </c>
      <c r="M42" s="2">
        <v>6492.66</v>
      </c>
      <c r="N42" s="5">
        <v>0.1</v>
      </c>
      <c r="O42" s="2">
        <v>23373.58</v>
      </c>
      <c r="P42" s="2">
        <v>5405.39</v>
      </c>
      <c r="Q42" t="s">
        <v>2169</v>
      </c>
    </row>
    <row r="43" spans="1:17">
      <c r="A43" t="s">
        <v>58</v>
      </c>
      <c r="B43" s="1">
        <v>45667</v>
      </c>
      <c r="C43" t="s">
        <v>1555</v>
      </c>
      <c r="D43" t="s">
        <v>1853</v>
      </c>
      <c r="E43" t="s">
        <v>2114</v>
      </c>
      <c r="F43" t="s">
        <v>2119</v>
      </c>
      <c r="G43" t="s">
        <v>2130</v>
      </c>
      <c r="H43" t="s">
        <v>2141</v>
      </c>
      <c r="I43" t="s">
        <v>2143</v>
      </c>
      <c r="J43" t="s">
        <v>2148</v>
      </c>
      <c r="K43" t="s">
        <v>2161</v>
      </c>
      <c r="L43" s="3">
        <v>1</v>
      </c>
      <c r="M43" s="2">
        <v>1727.81</v>
      </c>
      <c r="N43" s="5">
        <v>0.15</v>
      </c>
      <c r="O43" s="2">
        <v>1468.64</v>
      </c>
      <c r="P43" s="2">
        <v>104.17</v>
      </c>
      <c r="Q43" t="s">
        <v>2168</v>
      </c>
    </row>
    <row r="44" spans="1:17">
      <c r="A44" t="s">
        <v>59</v>
      </c>
      <c r="B44" s="1">
        <v>45667</v>
      </c>
      <c r="C44" t="s">
        <v>1556</v>
      </c>
      <c r="D44" t="s">
        <v>1854</v>
      </c>
      <c r="E44" t="s">
        <v>2114</v>
      </c>
      <c r="F44" t="s">
        <v>2117</v>
      </c>
      <c r="G44" t="s">
        <v>2123</v>
      </c>
      <c r="H44" t="s">
        <v>2134</v>
      </c>
      <c r="I44" t="s">
        <v>2144</v>
      </c>
      <c r="J44" t="s">
        <v>2152</v>
      </c>
      <c r="K44" t="s">
        <v>2162</v>
      </c>
      <c r="L44" s="3">
        <v>4</v>
      </c>
      <c r="M44" s="2">
        <v>365.74</v>
      </c>
      <c r="N44" s="5">
        <v>0.15</v>
      </c>
      <c r="O44" s="2">
        <v>1243.52</v>
      </c>
      <c r="P44" s="2">
        <v>319.76</v>
      </c>
      <c r="Q44" t="s">
        <v>2170</v>
      </c>
    </row>
    <row r="45" spans="1:17">
      <c r="A45" t="s">
        <v>60</v>
      </c>
      <c r="B45" s="1">
        <v>45667</v>
      </c>
      <c r="C45" t="s">
        <v>1557</v>
      </c>
      <c r="D45" t="s">
        <v>1855</v>
      </c>
      <c r="E45" t="s">
        <v>2114</v>
      </c>
      <c r="F45" t="s">
        <v>2116</v>
      </c>
      <c r="G45" t="s">
        <v>2127</v>
      </c>
      <c r="H45" t="s">
        <v>2138</v>
      </c>
      <c r="I45" t="s">
        <v>2142</v>
      </c>
      <c r="J45" t="s">
        <v>2151</v>
      </c>
      <c r="K45" t="s">
        <v>2160</v>
      </c>
      <c r="L45" s="3">
        <v>1</v>
      </c>
      <c r="M45" s="2">
        <v>8707.35</v>
      </c>
      <c r="N45" s="5">
        <v>0</v>
      </c>
      <c r="O45" s="2">
        <v>8707.35</v>
      </c>
      <c r="P45" s="2">
        <v>1091.5999999999999</v>
      </c>
      <c r="Q45" t="s">
        <v>2167</v>
      </c>
    </row>
    <row r="46" spans="1:17">
      <c r="A46" t="s">
        <v>61</v>
      </c>
      <c r="B46" s="1">
        <v>45668</v>
      </c>
      <c r="C46" t="s">
        <v>1551</v>
      </c>
      <c r="D46" t="s">
        <v>1849</v>
      </c>
      <c r="E46" t="s">
        <v>2114</v>
      </c>
      <c r="F46" t="s">
        <v>2119</v>
      </c>
      <c r="G46" t="s">
        <v>2124</v>
      </c>
      <c r="H46" t="s">
        <v>2135</v>
      </c>
      <c r="I46" t="s">
        <v>2143</v>
      </c>
      <c r="J46" t="s">
        <v>2148</v>
      </c>
      <c r="K46" t="s">
        <v>2161</v>
      </c>
      <c r="L46" s="3">
        <v>1</v>
      </c>
      <c r="M46" s="2">
        <v>1737.89</v>
      </c>
      <c r="N46" s="5">
        <v>0.15</v>
      </c>
      <c r="O46" s="2">
        <v>1477.21</v>
      </c>
      <c r="P46" s="2">
        <v>86.29</v>
      </c>
      <c r="Q46" t="s">
        <v>2170</v>
      </c>
    </row>
    <row r="47" spans="1:17">
      <c r="A47" t="s">
        <v>62</v>
      </c>
      <c r="B47" s="1">
        <v>45668</v>
      </c>
      <c r="C47" t="s">
        <v>1558</v>
      </c>
      <c r="D47" t="s">
        <v>1856</v>
      </c>
      <c r="E47" t="s">
        <v>2114</v>
      </c>
      <c r="F47" t="s">
        <v>2119</v>
      </c>
      <c r="G47" t="s">
        <v>2129</v>
      </c>
      <c r="H47" t="s">
        <v>2139</v>
      </c>
      <c r="I47" t="s">
        <v>2142</v>
      </c>
      <c r="J47" t="s">
        <v>2147</v>
      </c>
      <c r="K47" t="s">
        <v>2157</v>
      </c>
      <c r="L47" s="3">
        <v>2</v>
      </c>
      <c r="M47" s="2">
        <v>14745.5</v>
      </c>
      <c r="N47" s="5">
        <v>0.05</v>
      </c>
      <c r="O47" s="2">
        <v>28016.45</v>
      </c>
      <c r="P47" s="2">
        <v>7112.74</v>
      </c>
      <c r="Q47" t="s">
        <v>2169</v>
      </c>
    </row>
    <row r="48" spans="1:17">
      <c r="A48" t="s">
        <v>63</v>
      </c>
      <c r="B48" s="1">
        <v>45669</v>
      </c>
      <c r="C48" t="s">
        <v>1559</v>
      </c>
      <c r="D48" t="s">
        <v>1857</v>
      </c>
      <c r="E48" t="s">
        <v>2114</v>
      </c>
      <c r="F48" t="s">
        <v>2116</v>
      </c>
      <c r="G48" t="s">
        <v>2127</v>
      </c>
      <c r="H48" t="s">
        <v>2138</v>
      </c>
      <c r="I48" t="s">
        <v>2143</v>
      </c>
      <c r="J48" t="s">
        <v>2149</v>
      </c>
      <c r="K48" t="s">
        <v>2158</v>
      </c>
      <c r="L48" s="3">
        <v>1</v>
      </c>
      <c r="M48" s="2">
        <v>50136.18</v>
      </c>
      <c r="N48" s="5">
        <v>0.1</v>
      </c>
      <c r="O48" s="2">
        <v>45122.559999999998</v>
      </c>
      <c r="P48" s="2">
        <v>3462.37</v>
      </c>
      <c r="Q48" t="s">
        <v>2168</v>
      </c>
    </row>
    <row r="49" spans="1:17">
      <c r="A49" t="s">
        <v>64</v>
      </c>
      <c r="B49" s="1">
        <v>45669</v>
      </c>
      <c r="C49" t="s">
        <v>1531</v>
      </c>
      <c r="D49" t="s">
        <v>1829</v>
      </c>
      <c r="E49" t="s">
        <v>2113</v>
      </c>
      <c r="F49" t="s">
        <v>2118</v>
      </c>
      <c r="G49" t="s">
        <v>2128</v>
      </c>
      <c r="H49" t="s">
        <v>2128</v>
      </c>
      <c r="I49" t="s">
        <v>2142</v>
      </c>
      <c r="J49" t="s">
        <v>2151</v>
      </c>
      <c r="K49" t="s">
        <v>2160</v>
      </c>
      <c r="L49" s="3">
        <v>2</v>
      </c>
      <c r="M49" s="2">
        <v>8273.07</v>
      </c>
      <c r="N49" s="5">
        <v>0.1</v>
      </c>
      <c r="O49" s="2">
        <v>14891.53</v>
      </c>
      <c r="P49" s="2">
        <v>3356.43</v>
      </c>
      <c r="Q49" t="s">
        <v>2170</v>
      </c>
    </row>
    <row r="50" spans="1:17">
      <c r="A50" t="s">
        <v>65</v>
      </c>
      <c r="B50" s="1">
        <v>45669</v>
      </c>
      <c r="C50" t="s">
        <v>1560</v>
      </c>
      <c r="D50" t="s">
        <v>1858</v>
      </c>
      <c r="E50" t="s">
        <v>2113</v>
      </c>
      <c r="F50" t="s">
        <v>2117</v>
      </c>
      <c r="G50" t="s">
        <v>2121</v>
      </c>
      <c r="H50" t="s">
        <v>2132</v>
      </c>
      <c r="I50" t="s">
        <v>2142</v>
      </c>
      <c r="J50" t="s">
        <v>2147</v>
      </c>
      <c r="K50" t="s">
        <v>2157</v>
      </c>
      <c r="L50" s="3">
        <v>5</v>
      </c>
      <c r="M50" s="2">
        <v>14381.47</v>
      </c>
      <c r="N50" s="5">
        <v>0.1</v>
      </c>
      <c r="O50" s="2">
        <v>64716.61</v>
      </c>
      <c r="P50" s="2">
        <v>12738.94</v>
      </c>
      <c r="Q50" t="s">
        <v>2169</v>
      </c>
    </row>
    <row r="51" spans="1:17">
      <c r="A51" t="s">
        <v>66</v>
      </c>
      <c r="B51" s="1">
        <v>45669</v>
      </c>
      <c r="C51" t="s">
        <v>1522</v>
      </c>
      <c r="D51" t="s">
        <v>1820</v>
      </c>
      <c r="E51" t="s">
        <v>2114</v>
      </c>
      <c r="F51" t="s">
        <v>2117</v>
      </c>
      <c r="G51" t="s">
        <v>2121</v>
      </c>
      <c r="H51" t="s">
        <v>2132</v>
      </c>
      <c r="I51" t="s">
        <v>2143</v>
      </c>
      <c r="J51" t="s">
        <v>2146</v>
      </c>
      <c r="K51" t="s">
        <v>2154</v>
      </c>
      <c r="L51" s="3">
        <v>1</v>
      </c>
      <c r="M51" s="2">
        <v>42184.35</v>
      </c>
      <c r="N51" s="5">
        <v>0.15</v>
      </c>
      <c r="O51" s="2">
        <v>35856.699999999997</v>
      </c>
      <c r="P51" s="2">
        <v>6001.54</v>
      </c>
      <c r="Q51" t="s">
        <v>2168</v>
      </c>
    </row>
    <row r="52" spans="1:17">
      <c r="A52" t="s">
        <v>67</v>
      </c>
      <c r="B52" s="1">
        <v>45670</v>
      </c>
      <c r="C52" t="s">
        <v>1531</v>
      </c>
      <c r="D52" t="s">
        <v>1829</v>
      </c>
      <c r="E52" t="s">
        <v>2114</v>
      </c>
      <c r="F52" t="s">
        <v>2117</v>
      </c>
      <c r="G52" t="s">
        <v>2125</v>
      </c>
      <c r="H52" t="s">
        <v>2136</v>
      </c>
      <c r="I52" t="s">
        <v>2143</v>
      </c>
      <c r="J52" t="s">
        <v>2146</v>
      </c>
      <c r="K52" t="s">
        <v>2164</v>
      </c>
      <c r="L52" s="3">
        <v>1</v>
      </c>
      <c r="M52" s="2">
        <v>17579.09</v>
      </c>
      <c r="N52" s="5">
        <v>0.15</v>
      </c>
      <c r="O52" s="2">
        <v>14942.23</v>
      </c>
      <c r="P52" s="2">
        <v>958.77</v>
      </c>
      <c r="Q52" t="s">
        <v>2170</v>
      </c>
    </row>
    <row r="53" spans="1:17">
      <c r="A53" t="s">
        <v>68</v>
      </c>
      <c r="B53" s="1">
        <v>45670</v>
      </c>
      <c r="C53" t="s">
        <v>1561</v>
      </c>
      <c r="D53" t="s">
        <v>1859</v>
      </c>
      <c r="E53" t="s">
        <v>2115</v>
      </c>
      <c r="F53" t="s">
        <v>2119</v>
      </c>
      <c r="G53" t="s">
        <v>2129</v>
      </c>
      <c r="H53" t="s">
        <v>2139</v>
      </c>
      <c r="I53" t="s">
        <v>2143</v>
      </c>
      <c r="J53" t="s">
        <v>2148</v>
      </c>
      <c r="K53" t="s">
        <v>2161</v>
      </c>
      <c r="L53" s="3">
        <v>4</v>
      </c>
      <c r="M53" s="2">
        <v>1799.29</v>
      </c>
      <c r="N53" s="5">
        <v>0</v>
      </c>
      <c r="O53" s="2">
        <v>7197.16</v>
      </c>
      <c r="P53" s="2">
        <v>926.16</v>
      </c>
      <c r="Q53" t="s">
        <v>2170</v>
      </c>
    </row>
    <row r="54" spans="1:17">
      <c r="A54" t="s">
        <v>69</v>
      </c>
      <c r="B54" s="1">
        <v>45670</v>
      </c>
      <c r="C54" t="s">
        <v>1562</v>
      </c>
      <c r="D54" t="s">
        <v>1860</v>
      </c>
      <c r="E54" t="s">
        <v>2113</v>
      </c>
      <c r="F54" t="s">
        <v>2119</v>
      </c>
      <c r="G54" t="s">
        <v>2130</v>
      </c>
      <c r="H54" t="s">
        <v>2141</v>
      </c>
      <c r="I54" t="s">
        <v>2142</v>
      </c>
      <c r="J54" t="s">
        <v>2145</v>
      </c>
      <c r="K54" t="s">
        <v>2153</v>
      </c>
      <c r="L54" s="3">
        <v>1</v>
      </c>
      <c r="M54" s="2">
        <v>12391.94</v>
      </c>
      <c r="N54" s="5">
        <v>0</v>
      </c>
      <c r="O54" s="2">
        <v>12391.94</v>
      </c>
      <c r="P54" s="2">
        <v>2211.9</v>
      </c>
      <c r="Q54" t="s">
        <v>2170</v>
      </c>
    </row>
    <row r="55" spans="1:17">
      <c r="A55" t="s">
        <v>70</v>
      </c>
      <c r="B55" s="1">
        <v>45670</v>
      </c>
      <c r="C55" t="s">
        <v>1563</v>
      </c>
      <c r="D55" t="s">
        <v>1861</v>
      </c>
      <c r="E55" t="s">
        <v>2115</v>
      </c>
      <c r="F55" t="s">
        <v>2119</v>
      </c>
      <c r="G55" t="s">
        <v>2124</v>
      </c>
      <c r="H55" t="s">
        <v>2135</v>
      </c>
      <c r="I55" t="s">
        <v>2142</v>
      </c>
      <c r="J55" t="s">
        <v>2151</v>
      </c>
      <c r="K55" t="s">
        <v>2160</v>
      </c>
      <c r="L55" s="3">
        <v>1</v>
      </c>
      <c r="M55" s="2">
        <v>8197.49</v>
      </c>
      <c r="N55" s="5">
        <v>0.15</v>
      </c>
      <c r="O55" s="2">
        <v>6967.87</v>
      </c>
      <c r="P55" s="2">
        <v>1660.47</v>
      </c>
      <c r="Q55" t="s">
        <v>2168</v>
      </c>
    </row>
    <row r="56" spans="1:17">
      <c r="A56" t="s">
        <v>71</v>
      </c>
      <c r="B56" s="1">
        <v>45671</v>
      </c>
      <c r="C56" t="s">
        <v>1564</v>
      </c>
      <c r="D56" t="s">
        <v>1862</v>
      </c>
      <c r="E56" t="s">
        <v>2113</v>
      </c>
      <c r="F56" t="s">
        <v>2117</v>
      </c>
      <c r="G56" t="s">
        <v>2125</v>
      </c>
      <c r="H56" t="s">
        <v>2136</v>
      </c>
      <c r="I56" t="s">
        <v>2144</v>
      </c>
      <c r="J56" t="s">
        <v>2147</v>
      </c>
      <c r="K56" t="s">
        <v>2155</v>
      </c>
      <c r="L56" s="3">
        <v>3</v>
      </c>
      <c r="M56" s="2">
        <v>766.19</v>
      </c>
      <c r="N56" s="5">
        <v>0</v>
      </c>
      <c r="O56" s="2">
        <v>2298.5700000000002</v>
      </c>
      <c r="P56" s="2">
        <v>762.68</v>
      </c>
      <c r="Q56" t="s">
        <v>2169</v>
      </c>
    </row>
    <row r="57" spans="1:17">
      <c r="A57" t="s">
        <v>72</v>
      </c>
      <c r="B57" s="1">
        <v>45671</v>
      </c>
      <c r="C57" t="s">
        <v>1565</v>
      </c>
      <c r="D57" t="s">
        <v>1863</v>
      </c>
      <c r="E57" t="s">
        <v>2113</v>
      </c>
      <c r="F57" t="s">
        <v>2119</v>
      </c>
      <c r="G57" t="s">
        <v>2130</v>
      </c>
      <c r="H57" t="s">
        <v>2141</v>
      </c>
      <c r="I57" t="s">
        <v>2144</v>
      </c>
      <c r="J57" t="s">
        <v>2152</v>
      </c>
      <c r="K57" t="s">
        <v>2166</v>
      </c>
      <c r="L57" s="3">
        <v>2</v>
      </c>
      <c r="M57" s="2">
        <v>598.85</v>
      </c>
      <c r="N57" s="5">
        <v>0.15</v>
      </c>
      <c r="O57" s="2">
        <v>1018.04</v>
      </c>
      <c r="P57" s="2">
        <v>139.47</v>
      </c>
      <c r="Q57" t="s">
        <v>2168</v>
      </c>
    </row>
    <row r="58" spans="1:17">
      <c r="A58" t="s">
        <v>73</v>
      </c>
      <c r="B58" s="1">
        <v>45671</v>
      </c>
      <c r="C58" t="s">
        <v>1545</v>
      </c>
      <c r="D58" t="s">
        <v>1843</v>
      </c>
      <c r="E58" t="s">
        <v>2113</v>
      </c>
      <c r="F58" t="s">
        <v>2118</v>
      </c>
      <c r="G58" t="s">
        <v>2122</v>
      </c>
      <c r="H58" t="s">
        <v>2133</v>
      </c>
      <c r="I58" t="s">
        <v>2143</v>
      </c>
      <c r="J58" t="s">
        <v>2149</v>
      </c>
      <c r="K58" t="s">
        <v>2163</v>
      </c>
      <c r="L58" s="3">
        <v>4</v>
      </c>
      <c r="M58" s="2">
        <v>66964.160000000003</v>
      </c>
      <c r="N58" s="5">
        <v>0</v>
      </c>
      <c r="O58" s="2">
        <v>267856.64000000001</v>
      </c>
      <c r="P58" s="2">
        <v>56937.07</v>
      </c>
      <c r="Q58" t="s">
        <v>2167</v>
      </c>
    </row>
    <row r="59" spans="1:17">
      <c r="A59" t="s">
        <v>74</v>
      </c>
      <c r="B59" s="1">
        <v>45671</v>
      </c>
      <c r="C59" t="s">
        <v>1526</v>
      </c>
      <c r="D59" t="s">
        <v>1824</v>
      </c>
      <c r="E59" t="s">
        <v>2114</v>
      </c>
      <c r="F59" t="s">
        <v>2116</v>
      </c>
      <c r="G59" t="s">
        <v>2127</v>
      </c>
      <c r="H59" t="s">
        <v>2138</v>
      </c>
      <c r="I59" t="s">
        <v>2142</v>
      </c>
      <c r="J59" t="s">
        <v>2151</v>
      </c>
      <c r="K59" t="s">
        <v>2160</v>
      </c>
      <c r="L59" s="3">
        <v>4</v>
      </c>
      <c r="M59" s="2">
        <v>8240.43</v>
      </c>
      <c r="N59" s="5">
        <v>0.05</v>
      </c>
      <c r="O59" s="2">
        <v>31313.63</v>
      </c>
      <c r="P59" s="2">
        <v>5281.51</v>
      </c>
      <c r="Q59" t="s">
        <v>2168</v>
      </c>
    </row>
    <row r="60" spans="1:17">
      <c r="A60" t="s">
        <v>75</v>
      </c>
      <c r="B60" s="1">
        <v>45672</v>
      </c>
      <c r="C60" t="s">
        <v>1566</v>
      </c>
      <c r="D60" t="s">
        <v>1864</v>
      </c>
      <c r="E60" t="s">
        <v>2114</v>
      </c>
      <c r="F60" t="s">
        <v>2119</v>
      </c>
      <c r="G60" t="s">
        <v>2124</v>
      </c>
      <c r="H60" t="s">
        <v>2135</v>
      </c>
      <c r="I60" t="s">
        <v>2143</v>
      </c>
      <c r="J60" t="s">
        <v>2149</v>
      </c>
      <c r="K60" t="s">
        <v>2158</v>
      </c>
      <c r="L60" s="3">
        <v>2</v>
      </c>
      <c r="M60" s="2">
        <v>50226.12</v>
      </c>
      <c r="N60" s="5">
        <v>0.1</v>
      </c>
      <c r="O60" s="2">
        <v>90407.02</v>
      </c>
      <c r="P60" s="2">
        <v>16821.580000000002</v>
      </c>
      <c r="Q60" t="s">
        <v>2170</v>
      </c>
    </row>
    <row r="61" spans="1:17">
      <c r="A61" t="s">
        <v>76</v>
      </c>
      <c r="B61" s="1">
        <v>45672</v>
      </c>
      <c r="C61" t="s">
        <v>1567</v>
      </c>
      <c r="D61" t="s">
        <v>1865</v>
      </c>
      <c r="E61" t="s">
        <v>2114</v>
      </c>
      <c r="F61" t="s">
        <v>2116</v>
      </c>
      <c r="G61" t="s">
        <v>2127</v>
      </c>
      <c r="H61" t="s">
        <v>2138</v>
      </c>
      <c r="I61" t="s">
        <v>2143</v>
      </c>
      <c r="J61" t="s">
        <v>2146</v>
      </c>
      <c r="K61" t="s">
        <v>2154</v>
      </c>
      <c r="L61" s="3">
        <v>2</v>
      </c>
      <c r="M61" s="2">
        <v>43534.239999999998</v>
      </c>
      <c r="N61" s="5">
        <v>0.15</v>
      </c>
      <c r="O61" s="2">
        <v>74008.210000000006</v>
      </c>
      <c r="P61" s="2">
        <v>9037.58</v>
      </c>
      <c r="Q61" t="s">
        <v>2168</v>
      </c>
    </row>
    <row r="62" spans="1:17">
      <c r="A62" t="s">
        <v>77</v>
      </c>
      <c r="B62" s="1">
        <v>45672</v>
      </c>
      <c r="C62" t="s">
        <v>1568</v>
      </c>
      <c r="D62" t="s">
        <v>1866</v>
      </c>
      <c r="E62" t="s">
        <v>2114</v>
      </c>
      <c r="F62" t="s">
        <v>2117</v>
      </c>
      <c r="G62" t="s">
        <v>2121</v>
      </c>
      <c r="H62" t="s">
        <v>2132</v>
      </c>
      <c r="I62" t="s">
        <v>2142</v>
      </c>
      <c r="J62" t="s">
        <v>2145</v>
      </c>
      <c r="K62" t="s">
        <v>2153</v>
      </c>
      <c r="L62" s="3">
        <v>1</v>
      </c>
      <c r="M62" s="2">
        <v>11970.74</v>
      </c>
      <c r="N62" s="5">
        <v>0</v>
      </c>
      <c r="O62" s="2">
        <v>11970.74</v>
      </c>
      <c r="P62" s="2">
        <v>2249.34</v>
      </c>
      <c r="Q62" t="s">
        <v>2169</v>
      </c>
    </row>
    <row r="63" spans="1:17">
      <c r="A63" t="s">
        <v>78</v>
      </c>
      <c r="B63" s="1">
        <v>45672</v>
      </c>
      <c r="C63" t="s">
        <v>1569</v>
      </c>
      <c r="D63" t="s">
        <v>1867</v>
      </c>
      <c r="E63" t="s">
        <v>2113</v>
      </c>
      <c r="F63" t="s">
        <v>2117</v>
      </c>
      <c r="G63" t="s">
        <v>2125</v>
      </c>
      <c r="H63" t="s">
        <v>2136</v>
      </c>
      <c r="I63" t="s">
        <v>2142</v>
      </c>
      <c r="J63" t="s">
        <v>2145</v>
      </c>
      <c r="K63" t="s">
        <v>2153</v>
      </c>
      <c r="L63" s="3">
        <v>2</v>
      </c>
      <c r="M63" s="2">
        <v>12545.24</v>
      </c>
      <c r="N63" s="5">
        <v>0.05</v>
      </c>
      <c r="O63" s="2">
        <v>23835.96</v>
      </c>
      <c r="P63" s="2">
        <v>3432.85</v>
      </c>
      <c r="Q63" t="s">
        <v>2168</v>
      </c>
    </row>
    <row r="64" spans="1:17">
      <c r="A64" t="s">
        <v>79</v>
      </c>
      <c r="B64" s="1">
        <v>45672</v>
      </c>
      <c r="C64" t="s">
        <v>1570</v>
      </c>
      <c r="D64" t="s">
        <v>1868</v>
      </c>
      <c r="E64" t="s">
        <v>2114</v>
      </c>
      <c r="F64" t="s">
        <v>2119</v>
      </c>
      <c r="G64" t="s">
        <v>2130</v>
      </c>
      <c r="H64" t="s">
        <v>2141</v>
      </c>
      <c r="I64" t="s">
        <v>2143</v>
      </c>
      <c r="J64" t="s">
        <v>2149</v>
      </c>
      <c r="K64" t="s">
        <v>2158</v>
      </c>
      <c r="L64" s="3">
        <v>2</v>
      </c>
      <c r="M64" s="2">
        <v>47197.52</v>
      </c>
      <c r="N64" s="5">
        <v>0.05</v>
      </c>
      <c r="O64" s="2">
        <v>89675.29</v>
      </c>
      <c r="P64" s="2">
        <v>15119.74</v>
      </c>
      <c r="Q64" t="s">
        <v>2168</v>
      </c>
    </row>
    <row r="65" spans="1:17">
      <c r="A65" t="s">
        <v>80</v>
      </c>
      <c r="B65" s="1">
        <v>45673</v>
      </c>
      <c r="C65" t="s">
        <v>1571</v>
      </c>
      <c r="D65" t="s">
        <v>1869</v>
      </c>
      <c r="E65" t="s">
        <v>2113</v>
      </c>
      <c r="F65" t="s">
        <v>2117</v>
      </c>
      <c r="G65" t="s">
        <v>2125</v>
      </c>
      <c r="H65" t="s">
        <v>2136</v>
      </c>
      <c r="I65" t="s">
        <v>2144</v>
      </c>
      <c r="J65" t="s">
        <v>2152</v>
      </c>
      <c r="K65" t="s">
        <v>2162</v>
      </c>
      <c r="L65" s="3">
        <v>1</v>
      </c>
      <c r="M65" s="2">
        <v>360.24</v>
      </c>
      <c r="N65" s="5">
        <v>0</v>
      </c>
      <c r="O65" s="2">
        <v>360.24</v>
      </c>
      <c r="P65" s="2">
        <v>117.98</v>
      </c>
      <c r="Q65" t="s">
        <v>2168</v>
      </c>
    </row>
    <row r="66" spans="1:17">
      <c r="A66" t="s">
        <v>81</v>
      </c>
      <c r="B66" s="1">
        <v>45673</v>
      </c>
      <c r="C66" t="s">
        <v>1572</v>
      </c>
      <c r="D66" t="s">
        <v>1870</v>
      </c>
      <c r="E66" t="s">
        <v>2113</v>
      </c>
      <c r="F66" t="s">
        <v>2118</v>
      </c>
      <c r="G66" t="s">
        <v>2128</v>
      </c>
      <c r="H66" t="s">
        <v>2128</v>
      </c>
      <c r="I66" t="s">
        <v>2143</v>
      </c>
      <c r="J66" t="s">
        <v>2146</v>
      </c>
      <c r="K66" t="s">
        <v>2154</v>
      </c>
      <c r="L66" s="3">
        <v>5</v>
      </c>
      <c r="M66" s="2">
        <v>40822.400000000001</v>
      </c>
      <c r="N66" s="5">
        <v>0.05</v>
      </c>
      <c r="O66" s="2">
        <v>193906.4</v>
      </c>
      <c r="P66" s="2">
        <v>31095.85</v>
      </c>
      <c r="Q66" t="s">
        <v>2168</v>
      </c>
    </row>
    <row r="67" spans="1:17">
      <c r="A67" t="s">
        <v>82</v>
      </c>
      <c r="B67" s="1">
        <v>45673</v>
      </c>
      <c r="C67" t="s">
        <v>1573</v>
      </c>
      <c r="D67" t="s">
        <v>1871</v>
      </c>
      <c r="E67" t="s">
        <v>2113</v>
      </c>
      <c r="F67" t="s">
        <v>2118</v>
      </c>
      <c r="G67" t="s">
        <v>2128</v>
      </c>
      <c r="H67" t="s">
        <v>2128</v>
      </c>
      <c r="I67" t="s">
        <v>2143</v>
      </c>
      <c r="J67" t="s">
        <v>2148</v>
      </c>
      <c r="K67" t="s">
        <v>2161</v>
      </c>
      <c r="L67" s="3">
        <v>1</v>
      </c>
      <c r="M67" s="2">
        <v>1832.93</v>
      </c>
      <c r="N67" s="5">
        <v>0</v>
      </c>
      <c r="O67" s="2">
        <v>1832.93</v>
      </c>
      <c r="P67" s="2">
        <v>211.06</v>
      </c>
      <c r="Q67" t="s">
        <v>2167</v>
      </c>
    </row>
    <row r="68" spans="1:17">
      <c r="A68" t="s">
        <v>83</v>
      </c>
      <c r="B68" s="1">
        <v>45673</v>
      </c>
      <c r="C68" t="s">
        <v>1574</v>
      </c>
      <c r="D68" t="s">
        <v>1872</v>
      </c>
      <c r="E68" t="s">
        <v>2114</v>
      </c>
      <c r="F68" t="s">
        <v>2118</v>
      </c>
      <c r="G68" t="s">
        <v>2122</v>
      </c>
      <c r="H68" t="s">
        <v>2133</v>
      </c>
      <c r="I68" t="s">
        <v>2143</v>
      </c>
      <c r="J68" t="s">
        <v>2149</v>
      </c>
      <c r="K68" t="s">
        <v>2163</v>
      </c>
      <c r="L68" s="3">
        <v>4</v>
      </c>
      <c r="M68" s="2">
        <v>64511.01</v>
      </c>
      <c r="N68" s="5">
        <v>0.05</v>
      </c>
      <c r="O68" s="2">
        <v>245141.84</v>
      </c>
      <c r="P68" s="2">
        <v>23946.560000000001</v>
      </c>
      <c r="Q68" t="s">
        <v>2169</v>
      </c>
    </row>
    <row r="69" spans="1:17">
      <c r="A69" t="s">
        <v>84</v>
      </c>
      <c r="B69" s="1">
        <v>45673</v>
      </c>
      <c r="C69" t="s">
        <v>1575</v>
      </c>
      <c r="D69" t="s">
        <v>1873</v>
      </c>
      <c r="E69" t="s">
        <v>2115</v>
      </c>
      <c r="F69" t="s">
        <v>2119</v>
      </c>
      <c r="G69" t="s">
        <v>2124</v>
      </c>
      <c r="H69" t="s">
        <v>2135</v>
      </c>
      <c r="I69" t="s">
        <v>2144</v>
      </c>
      <c r="J69" t="s">
        <v>2152</v>
      </c>
      <c r="K69" t="s">
        <v>2162</v>
      </c>
      <c r="L69" s="3">
        <v>4</v>
      </c>
      <c r="M69" s="2">
        <v>347.48</v>
      </c>
      <c r="N69" s="5">
        <v>0.2</v>
      </c>
      <c r="O69" s="2">
        <v>1111.94</v>
      </c>
      <c r="P69" s="2">
        <v>153.63</v>
      </c>
      <c r="Q69" t="s">
        <v>2169</v>
      </c>
    </row>
    <row r="70" spans="1:17">
      <c r="A70" t="s">
        <v>85</v>
      </c>
      <c r="B70" s="1">
        <v>45673</v>
      </c>
      <c r="C70" t="s">
        <v>1576</v>
      </c>
      <c r="D70" t="s">
        <v>1874</v>
      </c>
      <c r="E70" t="s">
        <v>2115</v>
      </c>
      <c r="F70" t="s">
        <v>2118</v>
      </c>
      <c r="G70" t="s">
        <v>2122</v>
      </c>
      <c r="H70" t="s">
        <v>2133</v>
      </c>
      <c r="I70" t="s">
        <v>2143</v>
      </c>
      <c r="J70" t="s">
        <v>2146</v>
      </c>
      <c r="K70" t="s">
        <v>2164</v>
      </c>
      <c r="L70" s="3">
        <v>3</v>
      </c>
      <c r="M70" s="2">
        <v>17700.689999999999</v>
      </c>
      <c r="N70" s="5">
        <v>0.15</v>
      </c>
      <c r="O70" s="2">
        <v>45136.76</v>
      </c>
      <c r="P70" s="2">
        <v>9028.67</v>
      </c>
      <c r="Q70" t="s">
        <v>2169</v>
      </c>
    </row>
    <row r="71" spans="1:17">
      <c r="A71" t="s">
        <v>86</v>
      </c>
      <c r="B71" s="1">
        <v>45673</v>
      </c>
      <c r="C71" t="s">
        <v>1572</v>
      </c>
      <c r="D71" t="s">
        <v>1870</v>
      </c>
      <c r="E71" t="s">
        <v>2114</v>
      </c>
      <c r="F71" t="s">
        <v>2116</v>
      </c>
      <c r="G71" t="s">
        <v>2127</v>
      </c>
      <c r="H71" t="s">
        <v>2138</v>
      </c>
      <c r="I71" t="s">
        <v>2144</v>
      </c>
      <c r="J71" t="s">
        <v>2150</v>
      </c>
      <c r="K71" t="s">
        <v>2159</v>
      </c>
      <c r="L71" s="3">
        <v>1</v>
      </c>
      <c r="M71" s="2">
        <v>441.32</v>
      </c>
      <c r="N71" s="5">
        <v>0.05</v>
      </c>
      <c r="O71" s="2">
        <v>419.25</v>
      </c>
      <c r="P71" s="2">
        <v>62.05</v>
      </c>
      <c r="Q71" t="s">
        <v>2170</v>
      </c>
    </row>
    <row r="72" spans="1:17">
      <c r="A72" t="s">
        <v>87</v>
      </c>
      <c r="B72" s="1">
        <v>45673</v>
      </c>
      <c r="C72" t="s">
        <v>1577</v>
      </c>
      <c r="D72" t="s">
        <v>1875</v>
      </c>
      <c r="E72" t="s">
        <v>2114</v>
      </c>
      <c r="F72" t="s">
        <v>2116</v>
      </c>
      <c r="G72" t="s">
        <v>2120</v>
      </c>
      <c r="H72" t="s">
        <v>2131</v>
      </c>
      <c r="I72" t="s">
        <v>2143</v>
      </c>
      <c r="J72" t="s">
        <v>2149</v>
      </c>
      <c r="K72" t="s">
        <v>2163</v>
      </c>
      <c r="L72" s="3">
        <v>1</v>
      </c>
      <c r="M72" s="2">
        <v>63445.4</v>
      </c>
      <c r="N72" s="5">
        <v>0.15</v>
      </c>
      <c r="O72" s="2">
        <v>53928.59</v>
      </c>
      <c r="P72" s="2">
        <v>8990.4</v>
      </c>
      <c r="Q72" t="s">
        <v>2168</v>
      </c>
    </row>
    <row r="73" spans="1:17">
      <c r="A73" t="s">
        <v>88</v>
      </c>
      <c r="B73" s="1">
        <v>45674</v>
      </c>
      <c r="C73" t="s">
        <v>1560</v>
      </c>
      <c r="D73" t="s">
        <v>1858</v>
      </c>
      <c r="E73" t="s">
        <v>2115</v>
      </c>
      <c r="F73" t="s">
        <v>2118</v>
      </c>
      <c r="G73" t="s">
        <v>2122</v>
      </c>
      <c r="H73" t="s">
        <v>2133</v>
      </c>
      <c r="I73" t="s">
        <v>2143</v>
      </c>
      <c r="J73" t="s">
        <v>2149</v>
      </c>
      <c r="K73" t="s">
        <v>2158</v>
      </c>
      <c r="L73" s="3">
        <v>2</v>
      </c>
      <c r="M73" s="2">
        <v>46977.78</v>
      </c>
      <c r="N73" s="5">
        <v>0</v>
      </c>
      <c r="O73" s="2">
        <v>93955.56</v>
      </c>
      <c r="P73" s="2">
        <v>15631.36</v>
      </c>
      <c r="Q73" t="s">
        <v>2170</v>
      </c>
    </row>
    <row r="74" spans="1:17">
      <c r="A74" t="s">
        <v>89</v>
      </c>
      <c r="B74" s="1">
        <v>45674</v>
      </c>
      <c r="C74" t="s">
        <v>1578</v>
      </c>
      <c r="D74" t="s">
        <v>1876</v>
      </c>
      <c r="E74" t="s">
        <v>2114</v>
      </c>
      <c r="F74" t="s">
        <v>2118</v>
      </c>
      <c r="G74" t="s">
        <v>2128</v>
      </c>
      <c r="H74" t="s">
        <v>2128</v>
      </c>
      <c r="I74" t="s">
        <v>2142</v>
      </c>
      <c r="J74" t="s">
        <v>2151</v>
      </c>
      <c r="K74" t="s">
        <v>2160</v>
      </c>
      <c r="L74" s="3">
        <v>1</v>
      </c>
      <c r="M74" s="2">
        <v>8635.18</v>
      </c>
      <c r="N74" s="5">
        <v>0.1</v>
      </c>
      <c r="O74" s="2">
        <v>7771.66</v>
      </c>
      <c r="P74" s="2">
        <v>1831.83</v>
      </c>
      <c r="Q74" t="s">
        <v>2167</v>
      </c>
    </row>
    <row r="75" spans="1:17">
      <c r="A75" t="s">
        <v>90</v>
      </c>
      <c r="B75" s="1">
        <v>45674</v>
      </c>
      <c r="C75" t="s">
        <v>1579</v>
      </c>
      <c r="D75" t="s">
        <v>1877</v>
      </c>
      <c r="E75" t="s">
        <v>2113</v>
      </c>
      <c r="F75" t="s">
        <v>2117</v>
      </c>
      <c r="G75" t="s">
        <v>2125</v>
      </c>
      <c r="H75" t="s">
        <v>2136</v>
      </c>
      <c r="I75" t="s">
        <v>2143</v>
      </c>
      <c r="J75" t="s">
        <v>2148</v>
      </c>
      <c r="K75" t="s">
        <v>2156</v>
      </c>
      <c r="L75" s="3">
        <v>2</v>
      </c>
      <c r="M75" s="2">
        <v>1189.3499999999999</v>
      </c>
      <c r="N75" s="5">
        <v>0.1</v>
      </c>
      <c r="O75" s="2">
        <v>2140.83</v>
      </c>
      <c r="P75" s="2">
        <v>281.62</v>
      </c>
      <c r="Q75" t="s">
        <v>2169</v>
      </c>
    </row>
    <row r="76" spans="1:17">
      <c r="A76" t="s">
        <v>91</v>
      </c>
      <c r="B76" s="1">
        <v>45674</v>
      </c>
      <c r="C76" t="s">
        <v>1549</v>
      </c>
      <c r="D76" t="s">
        <v>1847</v>
      </c>
      <c r="E76" t="s">
        <v>2113</v>
      </c>
      <c r="F76" t="s">
        <v>2116</v>
      </c>
      <c r="G76" t="s">
        <v>2127</v>
      </c>
      <c r="H76" t="s">
        <v>2140</v>
      </c>
      <c r="I76" t="s">
        <v>2143</v>
      </c>
      <c r="J76" t="s">
        <v>2148</v>
      </c>
      <c r="K76" t="s">
        <v>2156</v>
      </c>
      <c r="L76" s="3">
        <v>1</v>
      </c>
      <c r="M76" s="2">
        <v>1217.82</v>
      </c>
      <c r="N76" s="5">
        <v>0.05</v>
      </c>
      <c r="O76" s="2">
        <v>1156.93</v>
      </c>
      <c r="P76" s="2">
        <v>91.13</v>
      </c>
      <c r="Q76" t="s">
        <v>2167</v>
      </c>
    </row>
    <row r="77" spans="1:17">
      <c r="A77" t="s">
        <v>92</v>
      </c>
      <c r="B77" s="1">
        <v>45674</v>
      </c>
      <c r="C77" t="s">
        <v>1580</v>
      </c>
      <c r="D77" t="s">
        <v>1878</v>
      </c>
      <c r="E77" t="s">
        <v>2115</v>
      </c>
      <c r="F77" t="s">
        <v>2118</v>
      </c>
      <c r="G77" t="s">
        <v>2122</v>
      </c>
      <c r="H77" t="s">
        <v>2133</v>
      </c>
      <c r="I77" t="s">
        <v>2143</v>
      </c>
      <c r="J77" t="s">
        <v>2148</v>
      </c>
      <c r="K77" t="s">
        <v>2156</v>
      </c>
      <c r="L77" s="3">
        <v>2</v>
      </c>
      <c r="M77" s="2">
        <v>1257.3599999999999</v>
      </c>
      <c r="N77" s="5">
        <v>0.1</v>
      </c>
      <c r="O77" s="2">
        <v>2263.25</v>
      </c>
      <c r="P77" s="2">
        <v>384.1</v>
      </c>
      <c r="Q77" t="s">
        <v>2168</v>
      </c>
    </row>
    <row r="78" spans="1:17">
      <c r="A78" t="s">
        <v>93</v>
      </c>
      <c r="B78" s="1">
        <v>45675</v>
      </c>
      <c r="C78" t="s">
        <v>1581</v>
      </c>
      <c r="D78" t="s">
        <v>1879</v>
      </c>
      <c r="E78" t="s">
        <v>2115</v>
      </c>
      <c r="F78" t="s">
        <v>2116</v>
      </c>
      <c r="G78" t="s">
        <v>2127</v>
      </c>
      <c r="H78" t="s">
        <v>2138</v>
      </c>
      <c r="I78" t="s">
        <v>2142</v>
      </c>
      <c r="J78" t="s">
        <v>2145</v>
      </c>
      <c r="K78" t="s">
        <v>2165</v>
      </c>
      <c r="L78" s="3">
        <v>1</v>
      </c>
      <c r="M78" s="2">
        <v>6662.67</v>
      </c>
      <c r="N78" s="5">
        <v>0</v>
      </c>
      <c r="O78" s="2">
        <v>6662.67</v>
      </c>
      <c r="P78" s="2">
        <v>1092.1500000000001</v>
      </c>
      <c r="Q78" t="s">
        <v>2169</v>
      </c>
    </row>
    <row r="79" spans="1:17">
      <c r="A79" t="s">
        <v>94</v>
      </c>
      <c r="B79" s="1">
        <v>45675</v>
      </c>
      <c r="C79" t="s">
        <v>1582</v>
      </c>
      <c r="D79" t="s">
        <v>1880</v>
      </c>
      <c r="E79" t="s">
        <v>2113</v>
      </c>
      <c r="F79" t="s">
        <v>2118</v>
      </c>
      <c r="G79" t="s">
        <v>2128</v>
      </c>
      <c r="H79" t="s">
        <v>2128</v>
      </c>
      <c r="I79" t="s">
        <v>2143</v>
      </c>
      <c r="J79" t="s">
        <v>2148</v>
      </c>
      <c r="K79" t="s">
        <v>2161</v>
      </c>
      <c r="L79" s="3">
        <v>1</v>
      </c>
      <c r="M79" s="2">
        <v>1721.86</v>
      </c>
      <c r="N79" s="5">
        <v>0.1</v>
      </c>
      <c r="O79" s="2">
        <v>1549.67</v>
      </c>
      <c r="P79" s="2">
        <v>134.19</v>
      </c>
      <c r="Q79" t="s">
        <v>2167</v>
      </c>
    </row>
    <row r="80" spans="1:17">
      <c r="A80" t="s">
        <v>95</v>
      </c>
      <c r="B80" s="1">
        <v>45675</v>
      </c>
      <c r="C80" t="s">
        <v>1583</v>
      </c>
      <c r="D80" t="s">
        <v>1881</v>
      </c>
      <c r="E80" t="s">
        <v>2114</v>
      </c>
      <c r="F80" t="s">
        <v>2116</v>
      </c>
      <c r="G80" t="s">
        <v>2127</v>
      </c>
      <c r="H80" t="s">
        <v>2138</v>
      </c>
      <c r="I80" t="s">
        <v>2143</v>
      </c>
      <c r="J80" t="s">
        <v>2148</v>
      </c>
      <c r="K80" t="s">
        <v>2161</v>
      </c>
      <c r="L80" s="3">
        <v>1</v>
      </c>
      <c r="M80" s="2">
        <v>1794.54</v>
      </c>
      <c r="N80" s="5">
        <v>0.1</v>
      </c>
      <c r="O80" s="2">
        <v>1615.09</v>
      </c>
      <c r="P80" s="2">
        <v>259.95999999999998</v>
      </c>
      <c r="Q80" t="s">
        <v>2170</v>
      </c>
    </row>
    <row r="81" spans="1:17">
      <c r="A81" t="s">
        <v>96</v>
      </c>
      <c r="B81" s="1">
        <v>45676</v>
      </c>
      <c r="C81" t="s">
        <v>1584</v>
      </c>
      <c r="D81" t="s">
        <v>1882</v>
      </c>
      <c r="E81" t="s">
        <v>2115</v>
      </c>
      <c r="F81" t="s">
        <v>2116</v>
      </c>
      <c r="G81" t="s">
        <v>2120</v>
      </c>
      <c r="H81" t="s">
        <v>2131</v>
      </c>
      <c r="I81" t="s">
        <v>2144</v>
      </c>
      <c r="J81" t="s">
        <v>2152</v>
      </c>
      <c r="K81" t="s">
        <v>2162</v>
      </c>
      <c r="L81" s="3">
        <v>1</v>
      </c>
      <c r="M81" s="2">
        <v>339.73</v>
      </c>
      <c r="N81" s="5">
        <v>0</v>
      </c>
      <c r="O81" s="2">
        <v>339.73</v>
      </c>
      <c r="P81" s="2">
        <v>85.53</v>
      </c>
      <c r="Q81" t="s">
        <v>2167</v>
      </c>
    </row>
    <row r="82" spans="1:17">
      <c r="A82" t="s">
        <v>97</v>
      </c>
      <c r="B82" s="1">
        <v>45676</v>
      </c>
      <c r="C82" t="s">
        <v>1585</v>
      </c>
      <c r="D82" t="s">
        <v>1883</v>
      </c>
      <c r="E82" t="s">
        <v>2115</v>
      </c>
      <c r="F82" t="s">
        <v>2117</v>
      </c>
      <c r="G82" t="s">
        <v>2125</v>
      </c>
      <c r="H82" t="s">
        <v>2136</v>
      </c>
      <c r="I82" t="s">
        <v>2143</v>
      </c>
      <c r="J82" t="s">
        <v>2146</v>
      </c>
      <c r="K82" t="s">
        <v>2154</v>
      </c>
      <c r="L82" s="3">
        <v>3</v>
      </c>
      <c r="M82" s="2">
        <v>40413.46</v>
      </c>
      <c r="N82" s="5">
        <v>0.1</v>
      </c>
      <c r="O82" s="2">
        <v>109116.34</v>
      </c>
      <c r="P82" s="2">
        <v>20831.47</v>
      </c>
      <c r="Q82" t="s">
        <v>2170</v>
      </c>
    </row>
    <row r="83" spans="1:17">
      <c r="A83" t="s">
        <v>98</v>
      </c>
      <c r="B83" s="1">
        <v>45676</v>
      </c>
      <c r="C83" t="s">
        <v>1586</v>
      </c>
      <c r="D83" t="s">
        <v>1884</v>
      </c>
      <c r="E83" t="s">
        <v>2114</v>
      </c>
      <c r="F83" t="s">
        <v>2117</v>
      </c>
      <c r="G83" t="s">
        <v>2123</v>
      </c>
      <c r="H83" t="s">
        <v>2134</v>
      </c>
      <c r="I83" t="s">
        <v>2143</v>
      </c>
      <c r="J83" t="s">
        <v>2148</v>
      </c>
      <c r="K83" t="s">
        <v>2161</v>
      </c>
      <c r="L83" s="3">
        <v>4</v>
      </c>
      <c r="M83" s="2">
        <v>1832.14</v>
      </c>
      <c r="N83" s="5">
        <v>0</v>
      </c>
      <c r="O83" s="2">
        <v>7328.56</v>
      </c>
      <c r="P83" s="2">
        <v>1183.98</v>
      </c>
      <c r="Q83" t="s">
        <v>2169</v>
      </c>
    </row>
    <row r="84" spans="1:17">
      <c r="A84" t="s">
        <v>99</v>
      </c>
      <c r="B84" s="1">
        <v>45676</v>
      </c>
      <c r="C84" t="s">
        <v>1587</v>
      </c>
      <c r="D84" t="s">
        <v>1885</v>
      </c>
      <c r="E84" t="s">
        <v>2115</v>
      </c>
      <c r="F84" t="s">
        <v>2119</v>
      </c>
      <c r="G84" t="s">
        <v>2130</v>
      </c>
      <c r="H84" t="s">
        <v>2141</v>
      </c>
      <c r="I84" t="s">
        <v>2144</v>
      </c>
      <c r="J84" t="s">
        <v>2152</v>
      </c>
      <c r="K84" t="s">
        <v>2162</v>
      </c>
      <c r="L84" s="3">
        <v>1</v>
      </c>
      <c r="M84" s="2">
        <v>335.66</v>
      </c>
      <c r="N84" s="5">
        <v>0.1</v>
      </c>
      <c r="O84" s="2">
        <v>302.08999999999997</v>
      </c>
      <c r="P84" s="2">
        <v>78.23</v>
      </c>
      <c r="Q84" t="s">
        <v>2168</v>
      </c>
    </row>
    <row r="85" spans="1:17">
      <c r="A85" t="s">
        <v>100</v>
      </c>
      <c r="B85" s="1">
        <v>45677</v>
      </c>
      <c r="C85" t="s">
        <v>1588</v>
      </c>
      <c r="D85" t="s">
        <v>1886</v>
      </c>
      <c r="E85" t="s">
        <v>2114</v>
      </c>
      <c r="F85" t="s">
        <v>2117</v>
      </c>
      <c r="G85" t="s">
        <v>2123</v>
      </c>
      <c r="H85" t="s">
        <v>2134</v>
      </c>
      <c r="I85" t="s">
        <v>2143</v>
      </c>
      <c r="J85" t="s">
        <v>2148</v>
      </c>
      <c r="K85" t="s">
        <v>2156</v>
      </c>
      <c r="L85" s="3">
        <v>3</v>
      </c>
      <c r="M85" s="2">
        <v>1190.49</v>
      </c>
      <c r="N85" s="5">
        <v>0</v>
      </c>
      <c r="O85" s="2">
        <v>3571.47</v>
      </c>
      <c r="P85" s="2">
        <v>586.55999999999995</v>
      </c>
      <c r="Q85" t="s">
        <v>2169</v>
      </c>
    </row>
    <row r="86" spans="1:17">
      <c r="A86" t="s">
        <v>101</v>
      </c>
      <c r="B86" s="1">
        <v>45677</v>
      </c>
      <c r="C86" t="s">
        <v>1589</v>
      </c>
      <c r="D86" t="s">
        <v>1887</v>
      </c>
      <c r="E86" t="s">
        <v>2113</v>
      </c>
      <c r="F86" t="s">
        <v>2118</v>
      </c>
      <c r="G86" t="s">
        <v>2126</v>
      </c>
      <c r="H86" t="s">
        <v>2137</v>
      </c>
      <c r="I86" t="s">
        <v>2142</v>
      </c>
      <c r="J86" t="s">
        <v>2145</v>
      </c>
      <c r="K86" t="s">
        <v>2153</v>
      </c>
      <c r="L86" s="3">
        <v>2</v>
      </c>
      <c r="M86" s="2">
        <v>11823.02</v>
      </c>
      <c r="N86" s="5">
        <v>0.05</v>
      </c>
      <c r="O86" s="2">
        <v>22463.74</v>
      </c>
      <c r="P86" s="2">
        <v>4877.34</v>
      </c>
      <c r="Q86" t="s">
        <v>2167</v>
      </c>
    </row>
    <row r="87" spans="1:17">
      <c r="A87" t="s">
        <v>102</v>
      </c>
      <c r="B87" s="1">
        <v>45677</v>
      </c>
      <c r="C87" t="s">
        <v>1547</v>
      </c>
      <c r="D87" t="s">
        <v>1845</v>
      </c>
      <c r="E87" t="s">
        <v>2114</v>
      </c>
      <c r="F87" t="s">
        <v>2117</v>
      </c>
      <c r="G87" t="s">
        <v>2123</v>
      </c>
      <c r="H87" t="s">
        <v>2134</v>
      </c>
      <c r="I87" t="s">
        <v>2144</v>
      </c>
      <c r="J87" t="s">
        <v>2150</v>
      </c>
      <c r="K87" t="s">
        <v>2159</v>
      </c>
      <c r="L87" s="3">
        <v>1</v>
      </c>
      <c r="M87" s="2">
        <v>460.73</v>
      </c>
      <c r="N87" s="5">
        <v>0</v>
      </c>
      <c r="O87" s="2">
        <v>460.73</v>
      </c>
      <c r="P87" s="2">
        <v>142.38</v>
      </c>
      <c r="Q87" t="s">
        <v>2168</v>
      </c>
    </row>
    <row r="88" spans="1:17">
      <c r="A88" t="s">
        <v>103</v>
      </c>
      <c r="B88" s="1">
        <v>45677</v>
      </c>
      <c r="C88" t="s">
        <v>1590</v>
      </c>
      <c r="D88" t="s">
        <v>1888</v>
      </c>
      <c r="E88" t="s">
        <v>2114</v>
      </c>
      <c r="F88" t="s">
        <v>2119</v>
      </c>
      <c r="G88" t="s">
        <v>2124</v>
      </c>
      <c r="H88" t="s">
        <v>2135</v>
      </c>
      <c r="I88" t="s">
        <v>2144</v>
      </c>
      <c r="J88" t="s">
        <v>2147</v>
      </c>
      <c r="K88" t="s">
        <v>2155</v>
      </c>
      <c r="L88" s="3">
        <v>1</v>
      </c>
      <c r="M88" s="2">
        <v>757.23</v>
      </c>
      <c r="N88" s="5">
        <v>0.15</v>
      </c>
      <c r="O88" s="2">
        <v>643.65</v>
      </c>
      <c r="P88" s="2">
        <v>116.11</v>
      </c>
      <c r="Q88" t="s">
        <v>2167</v>
      </c>
    </row>
    <row r="89" spans="1:17">
      <c r="A89" t="s">
        <v>104</v>
      </c>
      <c r="B89" s="1">
        <v>45677</v>
      </c>
      <c r="C89" t="s">
        <v>1580</v>
      </c>
      <c r="D89" t="s">
        <v>1878</v>
      </c>
      <c r="E89" t="s">
        <v>2114</v>
      </c>
      <c r="F89" t="s">
        <v>2116</v>
      </c>
      <c r="G89" t="s">
        <v>2127</v>
      </c>
      <c r="H89" t="s">
        <v>2140</v>
      </c>
      <c r="I89" t="s">
        <v>2142</v>
      </c>
      <c r="J89" t="s">
        <v>2147</v>
      </c>
      <c r="K89" t="s">
        <v>2157</v>
      </c>
      <c r="L89" s="3">
        <v>3</v>
      </c>
      <c r="M89" s="2">
        <v>14023.58</v>
      </c>
      <c r="N89" s="5">
        <v>0</v>
      </c>
      <c r="O89" s="2">
        <v>42070.74</v>
      </c>
      <c r="P89" s="2">
        <v>8101.67</v>
      </c>
      <c r="Q89" t="s">
        <v>2169</v>
      </c>
    </row>
    <row r="90" spans="1:17">
      <c r="A90" t="s">
        <v>105</v>
      </c>
      <c r="B90" s="1">
        <v>45678</v>
      </c>
      <c r="C90" t="s">
        <v>1591</v>
      </c>
      <c r="D90" t="s">
        <v>1889</v>
      </c>
      <c r="E90" t="s">
        <v>2114</v>
      </c>
      <c r="F90" t="s">
        <v>2117</v>
      </c>
      <c r="G90" t="s">
        <v>2123</v>
      </c>
      <c r="H90" t="s">
        <v>2134</v>
      </c>
      <c r="I90" t="s">
        <v>2142</v>
      </c>
      <c r="J90" t="s">
        <v>2145</v>
      </c>
      <c r="K90" t="s">
        <v>2165</v>
      </c>
      <c r="L90" s="3">
        <v>3</v>
      </c>
      <c r="M90" s="2">
        <v>6376.83</v>
      </c>
      <c r="N90" s="5">
        <v>0.1</v>
      </c>
      <c r="O90" s="2">
        <v>17217.439999999999</v>
      </c>
      <c r="P90" s="2">
        <v>4616.88</v>
      </c>
      <c r="Q90" t="s">
        <v>2169</v>
      </c>
    </row>
    <row r="91" spans="1:17">
      <c r="A91" t="s">
        <v>106</v>
      </c>
      <c r="B91" s="1">
        <v>45678</v>
      </c>
      <c r="C91" t="s">
        <v>1592</v>
      </c>
      <c r="D91" t="s">
        <v>1890</v>
      </c>
      <c r="E91" t="s">
        <v>2114</v>
      </c>
      <c r="F91" t="s">
        <v>2118</v>
      </c>
      <c r="G91" t="s">
        <v>2126</v>
      </c>
      <c r="H91" t="s">
        <v>2137</v>
      </c>
      <c r="I91" t="s">
        <v>2143</v>
      </c>
      <c r="J91" t="s">
        <v>2149</v>
      </c>
      <c r="K91" t="s">
        <v>2158</v>
      </c>
      <c r="L91" s="3">
        <v>3</v>
      </c>
      <c r="M91" s="2">
        <v>46195.67</v>
      </c>
      <c r="N91" s="5">
        <v>0.05</v>
      </c>
      <c r="O91" s="2">
        <v>131657.66</v>
      </c>
      <c r="P91" s="2">
        <v>17294.439999999999</v>
      </c>
      <c r="Q91" t="s">
        <v>2169</v>
      </c>
    </row>
    <row r="92" spans="1:17">
      <c r="A92" t="s">
        <v>107</v>
      </c>
      <c r="B92" s="1">
        <v>45678</v>
      </c>
      <c r="C92" t="s">
        <v>1593</v>
      </c>
      <c r="D92" t="s">
        <v>1891</v>
      </c>
      <c r="E92" t="s">
        <v>2115</v>
      </c>
      <c r="F92" t="s">
        <v>2118</v>
      </c>
      <c r="G92" t="s">
        <v>2126</v>
      </c>
      <c r="H92" t="s">
        <v>2137</v>
      </c>
      <c r="I92" t="s">
        <v>2143</v>
      </c>
      <c r="J92" t="s">
        <v>2149</v>
      </c>
      <c r="K92" t="s">
        <v>2158</v>
      </c>
      <c r="L92" s="3">
        <v>1</v>
      </c>
      <c r="M92" s="2">
        <v>48013.65</v>
      </c>
      <c r="N92" s="5">
        <v>0.1</v>
      </c>
      <c r="O92" s="2">
        <v>43212.29</v>
      </c>
      <c r="P92" s="2">
        <v>2320.83</v>
      </c>
      <c r="Q92" t="s">
        <v>2168</v>
      </c>
    </row>
    <row r="93" spans="1:17">
      <c r="A93" t="s">
        <v>108</v>
      </c>
      <c r="B93" s="1">
        <v>45678</v>
      </c>
      <c r="C93" t="s">
        <v>1594</v>
      </c>
      <c r="D93" t="s">
        <v>1892</v>
      </c>
      <c r="E93" t="s">
        <v>2113</v>
      </c>
      <c r="F93" t="s">
        <v>2116</v>
      </c>
      <c r="G93" t="s">
        <v>2127</v>
      </c>
      <c r="H93" t="s">
        <v>2138</v>
      </c>
      <c r="I93" t="s">
        <v>2144</v>
      </c>
      <c r="J93" t="s">
        <v>2150</v>
      </c>
      <c r="K93" t="s">
        <v>2159</v>
      </c>
      <c r="L93" s="3">
        <v>2</v>
      </c>
      <c r="M93" s="2">
        <v>458.79</v>
      </c>
      <c r="N93" s="5">
        <v>0</v>
      </c>
      <c r="O93" s="2">
        <v>917.58</v>
      </c>
      <c r="P93" s="2">
        <v>273.64</v>
      </c>
      <c r="Q93" t="s">
        <v>2169</v>
      </c>
    </row>
    <row r="94" spans="1:17">
      <c r="A94" t="s">
        <v>109</v>
      </c>
      <c r="B94" s="1">
        <v>45679</v>
      </c>
      <c r="C94" t="s">
        <v>1576</v>
      </c>
      <c r="D94" t="s">
        <v>1874</v>
      </c>
      <c r="E94" t="s">
        <v>2114</v>
      </c>
      <c r="F94" t="s">
        <v>2119</v>
      </c>
      <c r="G94" t="s">
        <v>2129</v>
      </c>
      <c r="H94" t="s">
        <v>2139</v>
      </c>
      <c r="I94" t="s">
        <v>2143</v>
      </c>
      <c r="J94" t="s">
        <v>2146</v>
      </c>
      <c r="K94" t="s">
        <v>2154</v>
      </c>
      <c r="L94" s="3">
        <v>2</v>
      </c>
      <c r="M94" s="2">
        <v>43687.45</v>
      </c>
      <c r="N94" s="5">
        <v>0.15</v>
      </c>
      <c r="O94" s="2">
        <v>74268.66</v>
      </c>
      <c r="P94" s="2">
        <v>6756.57</v>
      </c>
      <c r="Q94" t="s">
        <v>2169</v>
      </c>
    </row>
    <row r="95" spans="1:17">
      <c r="A95" t="s">
        <v>110</v>
      </c>
      <c r="B95" s="1">
        <v>45679</v>
      </c>
      <c r="C95" t="s">
        <v>1595</v>
      </c>
      <c r="D95" t="s">
        <v>1893</v>
      </c>
      <c r="E95" t="s">
        <v>2114</v>
      </c>
      <c r="F95" t="s">
        <v>2117</v>
      </c>
      <c r="G95" t="s">
        <v>2121</v>
      </c>
      <c r="H95" t="s">
        <v>2132</v>
      </c>
      <c r="I95" t="s">
        <v>2143</v>
      </c>
      <c r="J95" t="s">
        <v>2146</v>
      </c>
      <c r="K95" t="s">
        <v>2164</v>
      </c>
      <c r="L95" s="3">
        <v>3</v>
      </c>
      <c r="M95" s="2">
        <v>18385.11</v>
      </c>
      <c r="N95" s="5">
        <v>0</v>
      </c>
      <c r="O95" s="2">
        <v>55155.33</v>
      </c>
      <c r="P95" s="2">
        <v>10763.83</v>
      </c>
      <c r="Q95" t="s">
        <v>2169</v>
      </c>
    </row>
    <row r="96" spans="1:17">
      <c r="A96" t="s">
        <v>111</v>
      </c>
      <c r="B96" s="1">
        <v>45679</v>
      </c>
      <c r="C96" t="s">
        <v>1596</v>
      </c>
      <c r="D96" t="s">
        <v>1894</v>
      </c>
      <c r="E96" t="s">
        <v>2114</v>
      </c>
      <c r="F96" t="s">
        <v>2116</v>
      </c>
      <c r="G96" t="s">
        <v>2127</v>
      </c>
      <c r="H96" t="s">
        <v>2140</v>
      </c>
      <c r="I96" t="s">
        <v>2142</v>
      </c>
      <c r="J96" t="s">
        <v>2151</v>
      </c>
      <c r="K96" t="s">
        <v>2160</v>
      </c>
      <c r="L96" s="3">
        <v>3</v>
      </c>
      <c r="M96" s="2">
        <v>8625.83</v>
      </c>
      <c r="N96" s="5">
        <v>0.15</v>
      </c>
      <c r="O96" s="2">
        <v>21995.87</v>
      </c>
      <c r="P96" s="2">
        <v>3114.08</v>
      </c>
      <c r="Q96" t="s">
        <v>2167</v>
      </c>
    </row>
    <row r="97" spans="1:17">
      <c r="A97" t="s">
        <v>112</v>
      </c>
      <c r="B97" s="1">
        <v>45680</v>
      </c>
      <c r="C97" t="s">
        <v>1597</v>
      </c>
      <c r="D97" t="s">
        <v>1895</v>
      </c>
      <c r="E97" t="s">
        <v>2114</v>
      </c>
      <c r="F97" t="s">
        <v>2118</v>
      </c>
      <c r="G97" t="s">
        <v>2122</v>
      </c>
      <c r="H97" t="s">
        <v>2133</v>
      </c>
      <c r="I97" t="s">
        <v>2143</v>
      </c>
      <c r="J97" t="s">
        <v>2148</v>
      </c>
      <c r="K97" t="s">
        <v>2156</v>
      </c>
      <c r="L97" s="3">
        <v>3</v>
      </c>
      <c r="M97" s="2">
        <v>1212.42</v>
      </c>
      <c r="N97" s="5">
        <v>0.2</v>
      </c>
      <c r="O97" s="2">
        <v>2909.81</v>
      </c>
      <c r="P97" s="2">
        <v>12.75</v>
      </c>
      <c r="Q97" t="s">
        <v>2170</v>
      </c>
    </row>
    <row r="98" spans="1:17">
      <c r="A98" t="s">
        <v>113</v>
      </c>
      <c r="B98" s="1">
        <v>45680</v>
      </c>
      <c r="C98" t="s">
        <v>1598</v>
      </c>
      <c r="D98" t="s">
        <v>1896</v>
      </c>
      <c r="E98" t="s">
        <v>2114</v>
      </c>
      <c r="F98" t="s">
        <v>2117</v>
      </c>
      <c r="G98" t="s">
        <v>2123</v>
      </c>
      <c r="H98" t="s">
        <v>2134</v>
      </c>
      <c r="I98" t="s">
        <v>2143</v>
      </c>
      <c r="J98" t="s">
        <v>2149</v>
      </c>
      <c r="K98" t="s">
        <v>2163</v>
      </c>
      <c r="L98" s="3">
        <v>3</v>
      </c>
      <c r="M98" s="2">
        <v>63799.17</v>
      </c>
      <c r="N98" s="5">
        <v>0.1</v>
      </c>
      <c r="O98" s="2">
        <v>172257.76</v>
      </c>
      <c r="P98" s="2">
        <v>23368.240000000002</v>
      </c>
      <c r="Q98" t="s">
        <v>2169</v>
      </c>
    </row>
    <row r="99" spans="1:17">
      <c r="A99" t="s">
        <v>114</v>
      </c>
      <c r="B99" s="1">
        <v>45680</v>
      </c>
      <c r="C99" t="s">
        <v>1599</v>
      </c>
      <c r="D99" t="s">
        <v>1897</v>
      </c>
      <c r="E99" t="s">
        <v>2114</v>
      </c>
      <c r="F99" t="s">
        <v>2116</v>
      </c>
      <c r="G99" t="s">
        <v>2127</v>
      </c>
      <c r="H99" t="s">
        <v>2138</v>
      </c>
      <c r="I99" t="s">
        <v>2142</v>
      </c>
      <c r="J99" t="s">
        <v>2145</v>
      </c>
      <c r="K99" t="s">
        <v>2165</v>
      </c>
      <c r="L99" s="3">
        <v>5</v>
      </c>
      <c r="M99" s="2">
        <v>6723.38</v>
      </c>
      <c r="N99" s="5">
        <v>0.15</v>
      </c>
      <c r="O99" s="2">
        <v>28574.37</v>
      </c>
      <c r="P99" s="2">
        <v>4496.51</v>
      </c>
      <c r="Q99" t="s">
        <v>2169</v>
      </c>
    </row>
    <row r="100" spans="1:17">
      <c r="A100" t="s">
        <v>115</v>
      </c>
      <c r="B100" s="1">
        <v>45680</v>
      </c>
      <c r="C100" t="s">
        <v>1600</v>
      </c>
      <c r="D100" t="s">
        <v>1898</v>
      </c>
      <c r="E100" t="s">
        <v>2114</v>
      </c>
      <c r="F100" t="s">
        <v>2117</v>
      </c>
      <c r="G100" t="s">
        <v>2125</v>
      </c>
      <c r="H100" t="s">
        <v>2136</v>
      </c>
      <c r="I100" t="s">
        <v>2143</v>
      </c>
      <c r="J100" t="s">
        <v>2148</v>
      </c>
      <c r="K100" t="s">
        <v>2161</v>
      </c>
      <c r="L100" s="3">
        <v>2</v>
      </c>
      <c r="M100" s="2">
        <v>1810.59</v>
      </c>
      <c r="N100" s="5">
        <v>0.1</v>
      </c>
      <c r="O100" s="2">
        <v>3259.06</v>
      </c>
      <c r="P100" s="2">
        <v>536.27</v>
      </c>
      <c r="Q100" t="s">
        <v>2169</v>
      </c>
    </row>
    <row r="101" spans="1:17">
      <c r="A101" t="s">
        <v>116</v>
      </c>
      <c r="B101" s="1">
        <v>45680</v>
      </c>
      <c r="C101" t="s">
        <v>1531</v>
      </c>
      <c r="D101" t="s">
        <v>1829</v>
      </c>
      <c r="E101" t="s">
        <v>2113</v>
      </c>
      <c r="F101" t="s">
        <v>2119</v>
      </c>
      <c r="G101" t="s">
        <v>2130</v>
      </c>
      <c r="H101" t="s">
        <v>2141</v>
      </c>
      <c r="I101" t="s">
        <v>2142</v>
      </c>
      <c r="J101" t="s">
        <v>2145</v>
      </c>
      <c r="K101" t="s">
        <v>2165</v>
      </c>
      <c r="L101" s="3">
        <v>3</v>
      </c>
      <c r="M101" s="2">
        <v>6719.01</v>
      </c>
      <c r="N101" s="5">
        <v>0</v>
      </c>
      <c r="O101" s="2">
        <v>20157.03</v>
      </c>
      <c r="P101" s="2">
        <v>3353.93</v>
      </c>
      <c r="Q101" t="s">
        <v>2169</v>
      </c>
    </row>
    <row r="102" spans="1:17">
      <c r="A102" t="s">
        <v>117</v>
      </c>
      <c r="B102" s="1">
        <v>45681</v>
      </c>
      <c r="C102" t="s">
        <v>1571</v>
      </c>
      <c r="D102" t="s">
        <v>1869</v>
      </c>
      <c r="E102" t="s">
        <v>2114</v>
      </c>
      <c r="F102" t="s">
        <v>2119</v>
      </c>
      <c r="G102" t="s">
        <v>2129</v>
      </c>
      <c r="H102" t="s">
        <v>2139</v>
      </c>
      <c r="I102" t="s">
        <v>2142</v>
      </c>
      <c r="J102" t="s">
        <v>2147</v>
      </c>
      <c r="K102" t="s">
        <v>2157</v>
      </c>
      <c r="L102" s="3">
        <v>3</v>
      </c>
      <c r="M102" s="2">
        <v>14116.31</v>
      </c>
      <c r="N102" s="5">
        <v>0</v>
      </c>
      <c r="O102" s="2">
        <v>42348.93</v>
      </c>
      <c r="P102" s="2">
        <v>8431.64</v>
      </c>
      <c r="Q102" t="s">
        <v>2168</v>
      </c>
    </row>
    <row r="103" spans="1:17">
      <c r="A103" t="s">
        <v>118</v>
      </c>
      <c r="B103" s="1">
        <v>45681</v>
      </c>
      <c r="C103" t="s">
        <v>1601</v>
      </c>
      <c r="D103" t="s">
        <v>1899</v>
      </c>
      <c r="E103" t="s">
        <v>2115</v>
      </c>
      <c r="F103" t="s">
        <v>2118</v>
      </c>
      <c r="G103" t="s">
        <v>2126</v>
      </c>
      <c r="H103" t="s">
        <v>2137</v>
      </c>
      <c r="I103" t="s">
        <v>2143</v>
      </c>
      <c r="J103" t="s">
        <v>2146</v>
      </c>
      <c r="K103" t="s">
        <v>2154</v>
      </c>
      <c r="L103" s="3">
        <v>1</v>
      </c>
      <c r="M103" s="2">
        <v>39902.51</v>
      </c>
      <c r="N103" s="5">
        <v>0.15</v>
      </c>
      <c r="O103" s="2">
        <v>33917.129999999997</v>
      </c>
      <c r="P103" s="2">
        <v>3359.53</v>
      </c>
      <c r="Q103" t="s">
        <v>2170</v>
      </c>
    </row>
    <row r="104" spans="1:17">
      <c r="A104" t="s">
        <v>119</v>
      </c>
      <c r="B104" s="1">
        <v>45681</v>
      </c>
      <c r="C104" t="s">
        <v>1602</v>
      </c>
      <c r="D104" t="s">
        <v>1900</v>
      </c>
      <c r="E104" t="s">
        <v>2114</v>
      </c>
      <c r="F104" t="s">
        <v>2117</v>
      </c>
      <c r="G104" t="s">
        <v>2121</v>
      </c>
      <c r="H104" t="s">
        <v>2132</v>
      </c>
      <c r="I104" t="s">
        <v>2143</v>
      </c>
      <c r="J104" t="s">
        <v>2146</v>
      </c>
      <c r="K104" t="s">
        <v>2154</v>
      </c>
      <c r="L104" s="3">
        <v>2</v>
      </c>
      <c r="M104" s="2">
        <v>44009.68</v>
      </c>
      <c r="N104" s="5">
        <v>0</v>
      </c>
      <c r="O104" s="2">
        <v>88019.36</v>
      </c>
      <c r="P104" s="2">
        <v>14292.65</v>
      </c>
      <c r="Q104" t="s">
        <v>2168</v>
      </c>
    </row>
    <row r="105" spans="1:17">
      <c r="A105" t="s">
        <v>120</v>
      </c>
      <c r="B105" s="1">
        <v>45682</v>
      </c>
      <c r="C105" t="s">
        <v>1578</v>
      </c>
      <c r="D105" t="s">
        <v>1876</v>
      </c>
      <c r="E105" t="s">
        <v>2115</v>
      </c>
      <c r="F105" t="s">
        <v>2116</v>
      </c>
      <c r="G105" t="s">
        <v>2120</v>
      </c>
      <c r="H105" t="s">
        <v>2131</v>
      </c>
      <c r="I105" t="s">
        <v>2143</v>
      </c>
      <c r="J105" t="s">
        <v>2149</v>
      </c>
      <c r="K105" t="s">
        <v>2158</v>
      </c>
      <c r="L105" s="3">
        <v>1</v>
      </c>
      <c r="M105" s="2">
        <v>47805.9</v>
      </c>
      <c r="N105" s="5">
        <v>0.1</v>
      </c>
      <c r="O105" s="2">
        <v>43025.31</v>
      </c>
      <c r="P105" s="2">
        <v>5939.65</v>
      </c>
      <c r="Q105" t="s">
        <v>2169</v>
      </c>
    </row>
    <row r="106" spans="1:17">
      <c r="A106" t="s">
        <v>121</v>
      </c>
      <c r="B106" s="1">
        <v>45682</v>
      </c>
      <c r="C106" t="s">
        <v>1603</v>
      </c>
      <c r="D106" t="s">
        <v>1901</v>
      </c>
      <c r="E106" t="s">
        <v>2115</v>
      </c>
      <c r="F106" t="s">
        <v>2116</v>
      </c>
      <c r="G106" t="s">
        <v>2127</v>
      </c>
      <c r="H106" t="s">
        <v>2138</v>
      </c>
      <c r="I106" t="s">
        <v>2144</v>
      </c>
      <c r="J106" t="s">
        <v>2152</v>
      </c>
      <c r="K106" t="s">
        <v>2162</v>
      </c>
      <c r="L106" s="3">
        <v>5</v>
      </c>
      <c r="M106" s="2">
        <v>361.98</v>
      </c>
      <c r="N106" s="5">
        <v>0</v>
      </c>
      <c r="O106" s="2">
        <v>1809.9</v>
      </c>
      <c r="P106" s="2">
        <v>569.4</v>
      </c>
      <c r="Q106" t="s">
        <v>2169</v>
      </c>
    </row>
    <row r="107" spans="1:17">
      <c r="A107" t="s">
        <v>122</v>
      </c>
      <c r="B107" s="1">
        <v>45682</v>
      </c>
      <c r="C107" t="s">
        <v>1562</v>
      </c>
      <c r="D107" t="s">
        <v>1860</v>
      </c>
      <c r="E107" t="s">
        <v>2115</v>
      </c>
      <c r="F107" t="s">
        <v>2119</v>
      </c>
      <c r="G107" t="s">
        <v>2130</v>
      </c>
      <c r="H107" t="s">
        <v>2141</v>
      </c>
      <c r="I107" t="s">
        <v>2142</v>
      </c>
      <c r="J107" t="s">
        <v>2147</v>
      </c>
      <c r="K107" t="s">
        <v>2157</v>
      </c>
      <c r="L107" s="3">
        <v>4</v>
      </c>
      <c r="M107" s="2">
        <v>15156.56</v>
      </c>
      <c r="N107" s="5">
        <v>0.05</v>
      </c>
      <c r="O107" s="2">
        <v>57594.93</v>
      </c>
      <c r="P107" s="2">
        <v>13748.1</v>
      </c>
      <c r="Q107" t="s">
        <v>2168</v>
      </c>
    </row>
    <row r="108" spans="1:17">
      <c r="A108" t="s">
        <v>123</v>
      </c>
      <c r="B108" s="1">
        <v>45683</v>
      </c>
      <c r="C108" t="s">
        <v>1604</v>
      </c>
      <c r="D108" t="s">
        <v>1902</v>
      </c>
      <c r="E108" t="s">
        <v>2113</v>
      </c>
      <c r="F108" t="s">
        <v>2118</v>
      </c>
      <c r="G108" t="s">
        <v>2128</v>
      </c>
      <c r="H108" t="s">
        <v>2128</v>
      </c>
      <c r="I108" t="s">
        <v>2143</v>
      </c>
      <c r="J108" t="s">
        <v>2148</v>
      </c>
      <c r="K108" t="s">
        <v>2161</v>
      </c>
      <c r="L108" s="3">
        <v>2</v>
      </c>
      <c r="M108" s="2">
        <v>1841.57</v>
      </c>
      <c r="N108" s="5">
        <v>0.05</v>
      </c>
      <c r="O108" s="2">
        <v>3498.98</v>
      </c>
      <c r="P108" s="2">
        <v>371.13</v>
      </c>
      <c r="Q108" t="s">
        <v>2169</v>
      </c>
    </row>
    <row r="109" spans="1:17">
      <c r="A109" t="s">
        <v>124</v>
      </c>
      <c r="B109" s="1">
        <v>45683</v>
      </c>
      <c r="C109" t="s">
        <v>1605</v>
      </c>
      <c r="D109" t="s">
        <v>1903</v>
      </c>
      <c r="E109" t="s">
        <v>2113</v>
      </c>
      <c r="F109" t="s">
        <v>2117</v>
      </c>
      <c r="G109" t="s">
        <v>2123</v>
      </c>
      <c r="H109" t="s">
        <v>2134</v>
      </c>
      <c r="I109" t="s">
        <v>2142</v>
      </c>
      <c r="J109" t="s">
        <v>2151</v>
      </c>
      <c r="K109" t="s">
        <v>2160</v>
      </c>
      <c r="L109" s="3">
        <v>1</v>
      </c>
      <c r="M109" s="2">
        <v>8538.84</v>
      </c>
      <c r="N109" s="5">
        <v>0.1</v>
      </c>
      <c r="O109" s="2">
        <v>7684.96</v>
      </c>
      <c r="P109" s="2">
        <v>1040.18</v>
      </c>
      <c r="Q109" t="s">
        <v>2167</v>
      </c>
    </row>
    <row r="110" spans="1:17">
      <c r="A110" t="s">
        <v>125</v>
      </c>
      <c r="B110" s="1">
        <v>45683</v>
      </c>
      <c r="C110" t="s">
        <v>1553</v>
      </c>
      <c r="D110" t="s">
        <v>1851</v>
      </c>
      <c r="E110" t="s">
        <v>2114</v>
      </c>
      <c r="F110" t="s">
        <v>2116</v>
      </c>
      <c r="G110" t="s">
        <v>2120</v>
      </c>
      <c r="H110" t="s">
        <v>2131</v>
      </c>
      <c r="I110" t="s">
        <v>2143</v>
      </c>
      <c r="J110" t="s">
        <v>2148</v>
      </c>
      <c r="K110" t="s">
        <v>2161</v>
      </c>
      <c r="L110" s="3">
        <v>1</v>
      </c>
      <c r="M110" s="2">
        <v>1863.19</v>
      </c>
      <c r="N110" s="5">
        <v>0.1</v>
      </c>
      <c r="O110" s="2">
        <v>1676.87</v>
      </c>
      <c r="P110" s="2">
        <v>295.31</v>
      </c>
      <c r="Q110" t="s">
        <v>2168</v>
      </c>
    </row>
    <row r="111" spans="1:17">
      <c r="A111" t="s">
        <v>126</v>
      </c>
      <c r="B111" s="1">
        <v>45683</v>
      </c>
      <c r="C111" t="s">
        <v>1606</v>
      </c>
      <c r="D111" t="s">
        <v>1904</v>
      </c>
      <c r="E111" t="s">
        <v>2114</v>
      </c>
      <c r="F111" t="s">
        <v>2117</v>
      </c>
      <c r="G111" t="s">
        <v>2123</v>
      </c>
      <c r="H111" t="s">
        <v>2134</v>
      </c>
      <c r="I111" t="s">
        <v>2142</v>
      </c>
      <c r="J111" t="s">
        <v>2147</v>
      </c>
      <c r="K111" t="s">
        <v>2157</v>
      </c>
      <c r="L111" s="3">
        <v>3</v>
      </c>
      <c r="M111" s="2">
        <v>14587.76</v>
      </c>
      <c r="N111" s="5">
        <v>0</v>
      </c>
      <c r="O111" s="2">
        <v>43763.28</v>
      </c>
      <c r="P111" s="2">
        <v>12122.98</v>
      </c>
      <c r="Q111" t="s">
        <v>2167</v>
      </c>
    </row>
    <row r="112" spans="1:17">
      <c r="A112" t="s">
        <v>127</v>
      </c>
      <c r="B112" s="1">
        <v>45683</v>
      </c>
      <c r="C112" t="s">
        <v>1607</v>
      </c>
      <c r="D112" t="s">
        <v>1905</v>
      </c>
      <c r="E112" t="s">
        <v>2114</v>
      </c>
      <c r="F112" t="s">
        <v>2117</v>
      </c>
      <c r="G112" t="s">
        <v>2121</v>
      </c>
      <c r="H112" t="s">
        <v>2132</v>
      </c>
      <c r="I112" t="s">
        <v>2143</v>
      </c>
      <c r="J112" t="s">
        <v>2146</v>
      </c>
      <c r="K112" t="s">
        <v>2164</v>
      </c>
      <c r="L112" s="3">
        <v>1</v>
      </c>
      <c r="M112" s="2">
        <v>17780.89</v>
      </c>
      <c r="N112" s="5">
        <v>0.1</v>
      </c>
      <c r="O112" s="2">
        <v>16002.8</v>
      </c>
      <c r="P112" s="2">
        <v>1928.09</v>
      </c>
      <c r="Q112" t="s">
        <v>2168</v>
      </c>
    </row>
    <row r="113" spans="1:17">
      <c r="A113" t="s">
        <v>128</v>
      </c>
      <c r="B113" s="1">
        <v>45683</v>
      </c>
      <c r="C113" t="s">
        <v>1538</v>
      </c>
      <c r="D113" t="s">
        <v>1836</v>
      </c>
      <c r="E113" t="s">
        <v>2114</v>
      </c>
      <c r="F113" t="s">
        <v>2117</v>
      </c>
      <c r="G113" t="s">
        <v>2125</v>
      </c>
      <c r="H113" t="s">
        <v>2136</v>
      </c>
      <c r="I113" t="s">
        <v>2144</v>
      </c>
      <c r="J113" t="s">
        <v>2150</v>
      </c>
      <c r="K113" t="s">
        <v>2159</v>
      </c>
      <c r="L113" s="3">
        <v>2</v>
      </c>
      <c r="M113" s="2">
        <v>472.36</v>
      </c>
      <c r="N113" s="5">
        <v>0</v>
      </c>
      <c r="O113" s="2">
        <v>944.72</v>
      </c>
      <c r="P113" s="2">
        <v>222.11</v>
      </c>
      <c r="Q113" t="s">
        <v>2169</v>
      </c>
    </row>
    <row r="114" spans="1:17">
      <c r="A114" t="s">
        <v>129</v>
      </c>
      <c r="B114" s="1">
        <v>45683</v>
      </c>
      <c r="C114" t="s">
        <v>1583</v>
      </c>
      <c r="D114" t="s">
        <v>1881</v>
      </c>
      <c r="E114" t="s">
        <v>2115</v>
      </c>
      <c r="F114" t="s">
        <v>2118</v>
      </c>
      <c r="G114" t="s">
        <v>2122</v>
      </c>
      <c r="H114" t="s">
        <v>2133</v>
      </c>
      <c r="I114" t="s">
        <v>2143</v>
      </c>
      <c r="J114" t="s">
        <v>2148</v>
      </c>
      <c r="K114" t="s">
        <v>2161</v>
      </c>
      <c r="L114" s="3">
        <v>1</v>
      </c>
      <c r="M114" s="2">
        <v>1771.01</v>
      </c>
      <c r="N114" s="5">
        <v>0.15</v>
      </c>
      <c r="O114" s="2">
        <v>1505.36</v>
      </c>
      <c r="P114" s="2">
        <v>79.569999999999993</v>
      </c>
      <c r="Q114" t="s">
        <v>2167</v>
      </c>
    </row>
    <row r="115" spans="1:17">
      <c r="A115" t="s">
        <v>130</v>
      </c>
      <c r="B115" s="1">
        <v>45684</v>
      </c>
      <c r="C115" t="s">
        <v>1570</v>
      </c>
      <c r="D115" t="s">
        <v>1868</v>
      </c>
      <c r="E115" t="s">
        <v>2113</v>
      </c>
      <c r="F115" t="s">
        <v>2117</v>
      </c>
      <c r="G115" t="s">
        <v>2123</v>
      </c>
      <c r="H115" t="s">
        <v>2134</v>
      </c>
      <c r="I115" t="s">
        <v>2142</v>
      </c>
      <c r="J115" t="s">
        <v>2151</v>
      </c>
      <c r="K115" t="s">
        <v>2160</v>
      </c>
      <c r="L115" s="3">
        <v>1</v>
      </c>
      <c r="M115" s="2">
        <v>8765.81</v>
      </c>
      <c r="N115" s="5">
        <v>0.1</v>
      </c>
      <c r="O115" s="2">
        <v>7889.23</v>
      </c>
      <c r="P115" s="2">
        <v>1569.27</v>
      </c>
      <c r="Q115" t="s">
        <v>2170</v>
      </c>
    </row>
    <row r="116" spans="1:17">
      <c r="A116" t="s">
        <v>131</v>
      </c>
      <c r="B116" s="1">
        <v>45684</v>
      </c>
      <c r="C116" t="s">
        <v>1608</v>
      </c>
      <c r="D116" t="s">
        <v>1906</v>
      </c>
      <c r="E116" t="s">
        <v>2114</v>
      </c>
      <c r="F116" t="s">
        <v>2117</v>
      </c>
      <c r="G116" t="s">
        <v>2123</v>
      </c>
      <c r="H116" t="s">
        <v>2134</v>
      </c>
      <c r="I116" t="s">
        <v>2143</v>
      </c>
      <c r="J116" t="s">
        <v>2148</v>
      </c>
      <c r="K116" t="s">
        <v>2156</v>
      </c>
      <c r="L116" s="3">
        <v>1</v>
      </c>
      <c r="M116" s="2">
        <v>1217.8</v>
      </c>
      <c r="N116" s="5">
        <v>0</v>
      </c>
      <c r="O116" s="2">
        <v>1217.8</v>
      </c>
      <c r="P116" s="2">
        <v>184.56</v>
      </c>
      <c r="Q116" t="s">
        <v>2170</v>
      </c>
    </row>
    <row r="117" spans="1:17">
      <c r="A117" t="s">
        <v>132</v>
      </c>
      <c r="B117" s="1">
        <v>45684</v>
      </c>
      <c r="C117" t="s">
        <v>1609</v>
      </c>
      <c r="D117" t="s">
        <v>1907</v>
      </c>
      <c r="E117" t="s">
        <v>2114</v>
      </c>
      <c r="F117" t="s">
        <v>2119</v>
      </c>
      <c r="G117" t="s">
        <v>2130</v>
      </c>
      <c r="H117" t="s">
        <v>2141</v>
      </c>
      <c r="I117" t="s">
        <v>2144</v>
      </c>
      <c r="J117" t="s">
        <v>2147</v>
      </c>
      <c r="K117" t="s">
        <v>2155</v>
      </c>
      <c r="L117" s="3">
        <v>4</v>
      </c>
      <c r="M117" s="2">
        <v>775.5</v>
      </c>
      <c r="N117" s="5">
        <v>0.05</v>
      </c>
      <c r="O117" s="2">
        <v>2946.9</v>
      </c>
      <c r="P117" s="2">
        <v>874.31</v>
      </c>
      <c r="Q117" t="s">
        <v>2168</v>
      </c>
    </row>
    <row r="118" spans="1:17">
      <c r="A118" t="s">
        <v>133</v>
      </c>
      <c r="B118" s="1">
        <v>45684</v>
      </c>
      <c r="C118" t="s">
        <v>1610</v>
      </c>
      <c r="D118" t="s">
        <v>1908</v>
      </c>
      <c r="E118" t="s">
        <v>2115</v>
      </c>
      <c r="F118" t="s">
        <v>2117</v>
      </c>
      <c r="G118" t="s">
        <v>2125</v>
      </c>
      <c r="H118" t="s">
        <v>2136</v>
      </c>
      <c r="I118" t="s">
        <v>2143</v>
      </c>
      <c r="J118" t="s">
        <v>2146</v>
      </c>
      <c r="K118" t="s">
        <v>2164</v>
      </c>
      <c r="L118" s="3">
        <v>1</v>
      </c>
      <c r="M118" s="2">
        <v>17194.04</v>
      </c>
      <c r="N118" s="5">
        <v>0.05</v>
      </c>
      <c r="O118" s="2">
        <v>16334.34</v>
      </c>
      <c r="P118" s="2">
        <v>1309.04</v>
      </c>
      <c r="Q118" t="s">
        <v>2170</v>
      </c>
    </row>
    <row r="119" spans="1:17">
      <c r="A119" t="s">
        <v>134</v>
      </c>
      <c r="B119" s="1">
        <v>45685</v>
      </c>
      <c r="C119" t="s">
        <v>1611</v>
      </c>
      <c r="D119" t="s">
        <v>1909</v>
      </c>
      <c r="E119" t="s">
        <v>2115</v>
      </c>
      <c r="F119" t="s">
        <v>2119</v>
      </c>
      <c r="G119" t="s">
        <v>2129</v>
      </c>
      <c r="H119" t="s">
        <v>2139</v>
      </c>
      <c r="I119" t="s">
        <v>2143</v>
      </c>
      <c r="J119" t="s">
        <v>2146</v>
      </c>
      <c r="K119" t="s">
        <v>2164</v>
      </c>
      <c r="L119" s="3">
        <v>1</v>
      </c>
      <c r="M119" s="2">
        <v>18789.21</v>
      </c>
      <c r="N119" s="5">
        <v>0</v>
      </c>
      <c r="O119" s="2">
        <v>18789.21</v>
      </c>
      <c r="P119" s="2">
        <v>1953.18</v>
      </c>
      <c r="Q119" t="s">
        <v>2168</v>
      </c>
    </row>
    <row r="120" spans="1:17">
      <c r="A120" t="s">
        <v>135</v>
      </c>
      <c r="B120" s="1">
        <v>45685</v>
      </c>
      <c r="C120" t="s">
        <v>1558</v>
      </c>
      <c r="D120" t="s">
        <v>1856</v>
      </c>
      <c r="E120" t="s">
        <v>2115</v>
      </c>
      <c r="F120" t="s">
        <v>2117</v>
      </c>
      <c r="G120" t="s">
        <v>2125</v>
      </c>
      <c r="H120" t="s">
        <v>2136</v>
      </c>
      <c r="I120" t="s">
        <v>2143</v>
      </c>
      <c r="J120" t="s">
        <v>2148</v>
      </c>
      <c r="K120" t="s">
        <v>2156</v>
      </c>
      <c r="L120" s="3">
        <v>4</v>
      </c>
      <c r="M120" s="2">
        <v>1160.83</v>
      </c>
      <c r="N120" s="5">
        <v>0.05</v>
      </c>
      <c r="O120" s="2">
        <v>4411.1499999999996</v>
      </c>
      <c r="P120" s="2">
        <v>889.47</v>
      </c>
      <c r="Q120" t="s">
        <v>2169</v>
      </c>
    </row>
    <row r="121" spans="1:17">
      <c r="A121" t="s">
        <v>136</v>
      </c>
      <c r="B121" s="1">
        <v>45685</v>
      </c>
      <c r="C121" t="s">
        <v>1589</v>
      </c>
      <c r="D121" t="s">
        <v>1887</v>
      </c>
      <c r="E121" t="s">
        <v>2114</v>
      </c>
      <c r="F121" t="s">
        <v>2117</v>
      </c>
      <c r="G121" t="s">
        <v>2123</v>
      </c>
      <c r="H121" t="s">
        <v>2134</v>
      </c>
      <c r="I121" t="s">
        <v>2144</v>
      </c>
      <c r="J121" t="s">
        <v>2150</v>
      </c>
      <c r="K121" t="s">
        <v>2159</v>
      </c>
      <c r="L121" s="3">
        <v>3</v>
      </c>
      <c r="M121" s="2">
        <v>462.56</v>
      </c>
      <c r="N121" s="5">
        <v>0.1</v>
      </c>
      <c r="O121" s="2">
        <v>1248.9100000000001</v>
      </c>
      <c r="P121" s="2">
        <v>338.94</v>
      </c>
      <c r="Q121" t="s">
        <v>2169</v>
      </c>
    </row>
    <row r="122" spans="1:17">
      <c r="A122" t="s">
        <v>137</v>
      </c>
      <c r="B122" s="1">
        <v>45685</v>
      </c>
      <c r="C122" t="s">
        <v>1612</v>
      </c>
      <c r="D122" t="s">
        <v>1910</v>
      </c>
      <c r="E122" t="s">
        <v>2114</v>
      </c>
      <c r="F122" t="s">
        <v>2119</v>
      </c>
      <c r="G122" t="s">
        <v>2130</v>
      </c>
      <c r="H122" t="s">
        <v>2141</v>
      </c>
      <c r="I122" t="s">
        <v>2143</v>
      </c>
      <c r="J122" t="s">
        <v>2146</v>
      </c>
      <c r="K122" t="s">
        <v>2164</v>
      </c>
      <c r="L122" s="3">
        <v>1</v>
      </c>
      <c r="M122" s="2">
        <v>18108.82</v>
      </c>
      <c r="N122" s="5">
        <v>0.15</v>
      </c>
      <c r="O122" s="2">
        <v>15392.5</v>
      </c>
      <c r="P122" s="2">
        <v>1981.74</v>
      </c>
      <c r="Q122" t="s">
        <v>2168</v>
      </c>
    </row>
    <row r="123" spans="1:17">
      <c r="A123" t="s">
        <v>138</v>
      </c>
      <c r="B123" s="1">
        <v>45685</v>
      </c>
      <c r="C123" t="s">
        <v>1547</v>
      </c>
      <c r="D123" t="s">
        <v>1845</v>
      </c>
      <c r="E123" t="s">
        <v>2113</v>
      </c>
      <c r="F123" t="s">
        <v>2119</v>
      </c>
      <c r="G123" t="s">
        <v>2130</v>
      </c>
      <c r="H123" t="s">
        <v>2141</v>
      </c>
      <c r="I123" t="s">
        <v>2143</v>
      </c>
      <c r="J123" t="s">
        <v>2146</v>
      </c>
      <c r="K123" t="s">
        <v>2154</v>
      </c>
      <c r="L123" s="3">
        <v>1</v>
      </c>
      <c r="M123" s="2">
        <v>41954.75</v>
      </c>
      <c r="N123" s="5">
        <v>0.1</v>
      </c>
      <c r="O123" s="2">
        <v>37759.279999999999</v>
      </c>
      <c r="P123" s="2">
        <v>3119.09</v>
      </c>
      <c r="Q123" t="s">
        <v>2169</v>
      </c>
    </row>
    <row r="124" spans="1:17">
      <c r="A124" t="s">
        <v>139</v>
      </c>
      <c r="B124" s="1">
        <v>45685</v>
      </c>
      <c r="C124" t="s">
        <v>1591</v>
      </c>
      <c r="D124" t="s">
        <v>1889</v>
      </c>
      <c r="E124" t="s">
        <v>2114</v>
      </c>
      <c r="F124" t="s">
        <v>2118</v>
      </c>
      <c r="G124" t="s">
        <v>2122</v>
      </c>
      <c r="H124" t="s">
        <v>2133</v>
      </c>
      <c r="I124" t="s">
        <v>2142</v>
      </c>
      <c r="J124" t="s">
        <v>2145</v>
      </c>
      <c r="K124" t="s">
        <v>2165</v>
      </c>
      <c r="L124" s="3">
        <v>5</v>
      </c>
      <c r="M124" s="2">
        <v>6368.27</v>
      </c>
      <c r="N124" s="5">
        <v>0.15</v>
      </c>
      <c r="O124" s="2">
        <v>27065.15</v>
      </c>
      <c r="P124" s="2">
        <v>3569.4</v>
      </c>
      <c r="Q124" t="s">
        <v>2169</v>
      </c>
    </row>
    <row r="125" spans="1:17">
      <c r="A125" t="s">
        <v>140</v>
      </c>
      <c r="B125" s="1">
        <v>45686</v>
      </c>
      <c r="C125" t="s">
        <v>1518</v>
      </c>
      <c r="D125" t="s">
        <v>1816</v>
      </c>
      <c r="E125" t="s">
        <v>2115</v>
      </c>
      <c r="F125" t="s">
        <v>2119</v>
      </c>
      <c r="G125" t="s">
        <v>2130</v>
      </c>
      <c r="H125" t="s">
        <v>2141</v>
      </c>
      <c r="I125" t="s">
        <v>2142</v>
      </c>
      <c r="J125" t="s">
        <v>2147</v>
      </c>
      <c r="K125" t="s">
        <v>2157</v>
      </c>
      <c r="L125" s="3">
        <v>1</v>
      </c>
      <c r="M125" s="2">
        <v>14346.13</v>
      </c>
      <c r="N125" s="5">
        <v>0.1</v>
      </c>
      <c r="O125" s="2">
        <v>12911.52</v>
      </c>
      <c r="P125" s="2">
        <v>1824.41</v>
      </c>
      <c r="Q125" t="s">
        <v>2168</v>
      </c>
    </row>
    <row r="126" spans="1:17">
      <c r="A126" t="s">
        <v>141</v>
      </c>
      <c r="B126" s="1">
        <v>45686</v>
      </c>
      <c r="C126" t="s">
        <v>1584</v>
      </c>
      <c r="D126" t="s">
        <v>1882</v>
      </c>
      <c r="E126" t="s">
        <v>2114</v>
      </c>
      <c r="F126" t="s">
        <v>2116</v>
      </c>
      <c r="G126" t="s">
        <v>2127</v>
      </c>
      <c r="H126" t="s">
        <v>2140</v>
      </c>
      <c r="I126" t="s">
        <v>2144</v>
      </c>
      <c r="J126" t="s">
        <v>2152</v>
      </c>
      <c r="K126" t="s">
        <v>2166</v>
      </c>
      <c r="L126" s="3">
        <v>1</v>
      </c>
      <c r="M126" s="2">
        <v>594.42999999999995</v>
      </c>
      <c r="N126" s="5">
        <v>0.1</v>
      </c>
      <c r="O126" s="2">
        <v>534.99</v>
      </c>
      <c r="P126" s="2">
        <v>151.13</v>
      </c>
      <c r="Q126" t="s">
        <v>2168</v>
      </c>
    </row>
    <row r="127" spans="1:17">
      <c r="A127" t="s">
        <v>142</v>
      </c>
      <c r="B127" s="1">
        <v>45686</v>
      </c>
      <c r="C127" t="s">
        <v>1613</v>
      </c>
      <c r="D127" t="s">
        <v>1911</v>
      </c>
      <c r="E127" t="s">
        <v>2113</v>
      </c>
      <c r="F127" t="s">
        <v>2116</v>
      </c>
      <c r="G127" t="s">
        <v>2127</v>
      </c>
      <c r="H127" t="s">
        <v>2138</v>
      </c>
      <c r="I127" t="s">
        <v>2142</v>
      </c>
      <c r="J127" t="s">
        <v>2145</v>
      </c>
      <c r="K127" t="s">
        <v>2165</v>
      </c>
      <c r="L127" s="3">
        <v>1</v>
      </c>
      <c r="M127" s="2">
        <v>6721.39</v>
      </c>
      <c r="N127" s="5">
        <v>0.15</v>
      </c>
      <c r="O127" s="2">
        <v>5713.18</v>
      </c>
      <c r="P127" s="2">
        <v>1023.77</v>
      </c>
      <c r="Q127" t="s">
        <v>2170</v>
      </c>
    </row>
    <row r="128" spans="1:17">
      <c r="A128" t="s">
        <v>143</v>
      </c>
      <c r="B128" s="1">
        <v>45686</v>
      </c>
      <c r="C128" t="s">
        <v>1614</v>
      </c>
      <c r="D128" t="s">
        <v>1912</v>
      </c>
      <c r="E128" t="s">
        <v>2115</v>
      </c>
      <c r="F128" t="s">
        <v>2119</v>
      </c>
      <c r="G128" t="s">
        <v>2129</v>
      </c>
      <c r="H128" t="s">
        <v>2139</v>
      </c>
      <c r="I128" t="s">
        <v>2142</v>
      </c>
      <c r="J128" t="s">
        <v>2151</v>
      </c>
      <c r="K128" t="s">
        <v>2160</v>
      </c>
      <c r="L128" s="3">
        <v>1</v>
      </c>
      <c r="M128" s="2">
        <v>8464.85</v>
      </c>
      <c r="N128" s="5">
        <v>0.15</v>
      </c>
      <c r="O128" s="2">
        <v>7195.12</v>
      </c>
      <c r="P128" s="2">
        <v>1400.67</v>
      </c>
      <c r="Q128" t="s">
        <v>2168</v>
      </c>
    </row>
    <row r="129" spans="1:17">
      <c r="A129" t="s">
        <v>144</v>
      </c>
      <c r="B129" s="1">
        <v>45687</v>
      </c>
      <c r="C129" t="s">
        <v>1615</v>
      </c>
      <c r="D129" t="s">
        <v>1913</v>
      </c>
      <c r="E129" t="s">
        <v>2113</v>
      </c>
      <c r="F129" t="s">
        <v>2119</v>
      </c>
      <c r="G129" t="s">
        <v>2124</v>
      </c>
      <c r="H129" t="s">
        <v>2135</v>
      </c>
      <c r="I129" t="s">
        <v>2143</v>
      </c>
      <c r="J129" t="s">
        <v>2149</v>
      </c>
      <c r="K129" t="s">
        <v>2158</v>
      </c>
      <c r="L129" s="3">
        <v>2</v>
      </c>
      <c r="M129" s="2">
        <v>45991.56</v>
      </c>
      <c r="N129" s="5">
        <v>0.1</v>
      </c>
      <c r="O129" s="2">
        <v>82784.81</v>
      </c>
      <c r="P129" s="2">
        <v>6456.77</v>
      </c>
      <c r="Q129" t="s">
        <v>2167</v>
      </c>
    </row>
    <row r="130" spans="1:17">
      <c r="A130" t="s">
        <v>145</v>
      </c>
      <c r="B130" s="1">
        <v>45687</v>
      </c>
      <c r="C130" t="s">
        <v>1616</v>
      </c>
      <c r="D130" t="s">
        <v>1914</v>
      </c>
      <c r="E130" t="s">
        <v>2114</v>
      </c>
      <c r="F130" t="s">
        <v>2116</v>
      </c>
      <c r="G130" t="s">
        <v>2120</v>
      </c>
      <c r="H130" t="s">
        <v>2131</v>
      </c>
      <c r="I130" t="s">
        <v>2143</v>
      </c>
      <c r="J130" t="s">
        <v>2146</v>
      </c>
      <c r="K130" t="s">
        <v>2154</v>
      </c>
      <c r="L130" s="3">
        <v>2</v>
      </c>
      <c r="M130" s="2">
        <v>41369.47</v>
      </c>
      <c r="N130" s="5">
        <v>0</v>
      </c>
      <c r="O130" s="2">
        <v>82738.94</v>
      </c>
      <c r="P130" s="2">
        <v>15783.48</v>
      </c>
      <c r="Q130" t="s">
        <v>2167</v>
      </c>
    </row>
    <row r="131" spans="1:17">
      <c r="A131" t="s">
        <v>146</v>
      </c>
      <c r="B131" s="1">
        <v>45687</v>
      </c>
      <c r="C131" t="s">
        <v>1617</v>
      </c>
      <c r="D131" t="s">
        <v>1915</v>
      </c>
      <c r="E131" t="s">
        <v>2115</v>
      </c>
      <c r="F131" t="s">
        <v>2116</v>
      </c>
      <c r="G131" t="s">
        <v>2120</v>
      </c>
      <c r="H131" t="s">
        <v>2131</v>
      </c>
      <c r="I131" t="s">
        <v>2142</v>
      </c>
      <c r="J131" t="s">
        <v>2151</v>
      </c>
      <c r="K131" t="s">
        <v>2160</v>
      </c>
      <c r="L131" s="3">
        <v>1</v>
      </c>
      <c r="M131" s="2">
        <v>8281.84</v>
      </c>
      <c r="N131" s="5">
        <v>0</v>
      </c>
      <c r="O131" s="2">
        <v>8281.84</v>
      </c>
      <c r="P131" s="2">
        <v>2156.56</v>
      </c>
      <c r="Q131" t="s">
        <v>2169</v>
      </c>
    </row>
    <row r="132" spans="1:17">
      <c r="A132" t="s">
        <v>147</v>
      </c>
      <c r="B132" s="1">
        <v>45688</v>
      </c>
      <c r="C132" t="s">
        <v>1618</v>
      </c>
      <c r="D132" t="s">
        <v>1916</v>
      </c>
      <c r="E132" t="s">
        <v>2114</v>
      </c>
      <c r="F132" t="s">
        <v>2116</v>
      </c>
      <c r="G132" t="s">
        <v>2120</v>
      </c>
      <c r="H132" t="s">
        <v>2131</v>
      </c>
      <c r="I132" t="s">
        <v>2144</v>
      </c>
      <c r="J132" t="s">
        <v>2152</v>
      </c>
      <c r="K132" t="s">
        <v>2162</v>
      </c>
      <c r="L132" s="3">
        <v>4</v>
      </c>
      <c r="M132" s="2">
        <v>340.4</v>
      </c>
      <c r="N132" s="5">
        <v>0.15</v>
      </c>
      <c r="O132" s="2">
        <v>1157.3599999999999</v>
      </c>
      <c r="P132" s="2">
        <v>241.42</v>
      </c>
      <c r="Q132" t="s">
        <v>2170</v>
      </c>
    </row>
    <row r="133" spans="1:17">
      <c r="A133" t="s">
        <v>148</v>
      </c>
      <c r="B133" s="1">
        <v>45688</v>
      </c>
      <c r="C133" t="s">
        <v>1529</v>
      </c>
      <c r="D133" t="s">
        <v>1827</v>
      </c>
      <c r="E133" t="s">
        <v>2113</v>
      </c>
      <c r="F133" t="s">
        <v>2117</v>
      </c>
      <c r="G133" t="s">
        <v>2123</v>
      </c>
      <c r="H133" t="s">
        <v>2134</v>
      </c>
      <c r="I133" t="s">
        <v>2143</v>
      </c>
      <c r="J133" t="s">
        <v>2146</v>
      </c>
      <c r="K133" t="s">
        <v>2164</v>
      </c>
      <c r="L133" s="3">
        <v>1</v>
      </c>
      <c r="M133" s="2">
        <v>18741.97</v>
      </c>
      <c r="N133" s="5">
        <v>0.2</v>
      </c>
      <c r="O133" s="2">
        <v>14993.58</v>
      </c>
      <c r="P133" s="2">
        <v>1309.51</v>
      </c>
      <c r="Q133" t="s">
        <v>2167</v>
      </c>
    </row>
    <row r="134" spans="1:17">
      <c r="A134" t="s">
        <v>149</v>
      </c>
      <c r="B134" s="1">
        <v>45688</v>
      </c>
      <c r="C134" t="s">
        <v>1619</v>
      </c>
      <c r="D134" t="s">
        <v>1917</v>
      </c>
      <c r="E134" t="s">
        <v>2115</v>
      </c>
      <c r="F134" t="s">
        <v>2117</v>
      </c>
      <c r="G134" t="s">
        <v>2125</v>
      </c>
      <c r="H134" t="s">
        <v>2136</v>
      </c>
      <c r="I134" t="s">
        <v>2144</v>
      </c>
      <c r="J134" t="s">
        <v>2152</v>
      </c>
      <c r="K134" t="s">
        <v>2166</v>
      </c>
      <c r="L134" s="3">
        <v>2</v>
      </c>
      <c r="M134" s="2">
        <v>583.27</v>
      </c>
      <c r="N134" s="5">
        <v>0.1</v>
      </c>
      <c r="O134" s="2">
        <v>1049.8900000000001</v>
      </c>
      <c r="P134" s="2">
        <v>268.89</v>
      </c>
      <c r="Q134" t="s">
        <v>2169</v>
      </c>
    </row>
    <row r="135" spans="1:17">
      <c r="A135" t="s">
        <v>150</v>
      </c>
      <c r="B135" s="1">
        <v>45689</v>
      </c>
      <c r="C135" t="s">
        <v>1620</v>
      </c>
      <c r="D135" t="s">
        <v>1918</v>
      </c>
      <c r="E135" t="s">
        <v>2113</v>
      </c>
      <c r="F135" t="s">
        <v>2117</v>
      </c>
      <c r="G135" t="s">
        <v>2123</v>
      </c>
      <c r="H135" t="s">
        <v>2134</v>
      </c>
      <c r="I135" t="s">
        <v>2144</v>
      </c>
      <c r="J135" t="s">
        <v>2147</v>
      </c>
      <c r="K135" t="s">
        <v>2155</v>
      </c>
      <c r="L135" s="3">
        <v>1</v>
      </c>
      <c r="M135" s="2">
        <v>713.11</v>
      </c>
      <c r="N135" s="5">
        <v>0.15</v>
      </c>
      <c r="O135" s="2">
        <v>606.14</v>
      </c>
      <c r="P135" s="2">
        <v>93.65</v>
      </c>
      <c r="Q135" t="s">
        <v>2167</v>
      </c>
    </row>
    <row r="136" spans="1:17">
      <c r="A136" t="s">
        <v>151</v>
      </c>
      <c r="B136" s="1">
        <v>45689</v>
      </c>
      <c r="C136" t="s">
        <v>1621</v>
      </c>
      <c r="D136" t="s">
        <v>1919</v>
      </c>
      <c r="E136" t="s">
        <v>2113</v>
      </c>
      <c r="F136" t="s">
        <v>2117</v>
      </c>
      <c r="G136" t="s">
        <v>2123</v>
      </c>
      <c r="H136" t="s">
        <v>2134</v>
      </c>
      <c r="I136" t="s">
        <v>2144</v>
      </c>
      <c r="J136" t="s">
        <v>2150</v>
      </c>
      <c r="K136" t="s">
        <v>2159</v>
      </c>
      <c r="L136" s="3">
        <v>1</v>
      </c>
      <c r="M136" s="2">
        <v>469.71</v>
      </c>
      <c r="N136" s="5">
        <v>0</v>
      </c>
      <c r="O136" s="2">
        <v>469.71</v>
      </c>
      <c r="P136" s="2">
        <v>156.66</v>
      </c>
      <c r="Q136" t="s">
        <v>2168</v>
      </c>
    </row>
    <row r="137" spans="1:17">
      <c r="A137" t="s">
        <v>152</v>
      </c>
      <c r="B137" s="1">
        <v>45689</v>
      </c>
      <c r="C137" t="s">
        <v>1562</v>
      </c>
      <c r="D137" t="s">
        <v>1860</v>
      </c>
      <c r="E137" t="s">
        <v>2113</v>
      </c>
      <c r="F137" t="s">
        <v>2116</v>
      </c>
      <c r="G137" t="s">
        <v>2127</v>
      </c>
      <c r="H137" t="s">
        <v>2138</v>
      </c>
      <c r="I137" t="s">
        <v>2144</v>
      </c>
      <c r="J137" t="s">
        <v>2150</v>
      </c>
      <c r="K137" t="s">
        <v>2159</v>
      </c>
      <c r="L137" s="3">
        <v>1</v>
      </c>
      <c r="M137" s="2">
        <v>450.01</v>
      </c>
      <c r="N137" s="5">
        <v>0.1</v>
      </c>
      <c r="O137" s="2">
        <v>405.01</v>
      </c>
      <c r="P137" s="2">
        <v>119.81</v>
      </c>
      <c r="Q137" t="s">
        <v>2167</v>
      </c>
    </row>
    <row r="138" spans="1:17">
      <c r="A138" t="s">
        <v>153</v>
      </c>
      <c r="B138" s="1">
        <v>45689</v>
      </c>
      <c r="C138" t="s">
        <v>1612</v>
      </c>
      <c r="D138" t="s">
        <v>1910</v>
      </c>
      <c r="E138" t="s">
        <v>2114</v>
      </c>
      <c r="F138" t="s">
        <v>2117</v>
      </c>
      <c r="G138" t="s">
        <v>2125</v>
      </c>
      <c r="H138" t="s">
        <v>2136</v>
      </c>
      <c r="I138" t="s">
        <v>2143</v>
      </c>
      <c r="J138" t="s">
        <v>2148</v>
      </c>
      <c r="K138" t="s">
        <v>2161</v>
      </c>
      <c r="L138" s="3">
        <v>2</v>
      </c>
      <c r="M138" s="2">
        <v>1792.66</v>
      </c>
      <c r="N138" s="5">
        <v>0.15</v>
      </c>
      <c r="O138" s="2">
        <v>3047.52</v>
      </c>
      <c r="P138" s="2">
        <v>130.4</v>
      </c>
      <c r="Q138" t="s">
        <v>2168</v>
      </c>
    </row>
    <row r="139" spans="1:17">
      <c r="A139" t="s">
        <v>154</v>
      </c>
      <c r="B139" s="1">
        <v>45689</v>
      </c>
      <c r="C139" t="s">
        <v>1564</v>
      </c>
      <c r="D139" t="s">
        <v>1862</v>
      </c>
      <c r="E139" t="s">
        <v>2114</v>
      </c>
      <c r="F139" t="s">
        <v>2118</v>
      </c>
      <c r="G139" t="s">
        <v>2126</v>
      </c>
      <c r="H139" t="s">
        <v>2137</v>
      </c>
      <c r="I139" t="s">
        <v>2142</v>
      </c>
      <c r="J139" t="s">
        <v>2145</v>
      </c>
      <c r="K139" t="s">
        <v>2153</v>
      </c>
      <c r="L139" s="3">
        <v>2</v>
      </c>
      <c r="M139" s="2">
        <v>11880.17</v>
      </c>
      <c r="N139" s="5">
        <v>0.05</v>
      </c>
      <c r="O139" s="2">
        <v>22572.32</v>
      </c>
      <c r="P139" s="2">
        <v>4598.33</v>
      </c>
      <c r="Q139" t="s">
        <v>2170</v>
      </c>
    </row>
    <row r="140" spans="1:17">
      <c r="A140" t="s">
        <v>155</v>
      </c>
      <c r="B140" s="1">
        <v>45690</v>
      </c>
      <c r="C140" t="s">
        <v>1622</v>
      </c>
      <c r="D140" t="s">
        <v>1920</v>
      </c>
      <c r="E140" t="s">
        <v>2114</v>
      </c>
      <c r="F140" t="s">
        <v>2116</v>
      </c>
      <c r="G140" t="s">
        <v>2127</v>
      </c>
      <c r="H140" t="s">
        <v>2140</v>
      </c>
      <c r="I140" t="s">
        <v>2143</v>
      </c>
      <c r="J140" t="s">
        <v>2149</v>
      </c>
      <c r="K140" t="s">
        <v>2163</v>
      </c>
      <c r="L140" s="3">
        <v>1</v>
      </c>
      <c r="M140" s="2">
        <v>66130.64</v>
      </c>
      <c r="N140" s="5">
        <v>0</v>
      </c>
      <c r="O140" s="2">
        <v>66130.64</v>
      </c>
      <c r="P140" s="2">
        <v>10265.25</v>
      </c>
      <c r="Q140" t="s">
        <v>2170</v>
      </c>
    </row>
    <row r="141" spans="1:17">
      <c r="A141" t="s">
        <v>156</v>
      </c>
      <c r="B141" s="1">
        <v>45690</v>
      </c>
      <c r="C141" t="s">
        <v>1617</v>
      </c>
      <c r="D141" t="s">
        <v>1915</v>
      </c>
      <c r="E141" t="s">
        <v>2115</v>
      </c>
      <c r="F141" t="s">
        <v>2119</v>
      </c>
      <c r="G141" t="s">
        <v>2130</v>
      </c>
      <c r="H141" t="s">
        <v>2141</v>
      </c>
      <c r="I141" t="s">
        <v>2143</v>
      </c>
      <c r="J141" t="s">
        <v>2146</v>
      </c>
      <c r="K141" t="s">
        <v>2164</v>
      </c>
      <c r="L141" s="3">
        <v>2</v>
      </c>
      <c r="M141" s="2">
        <v>17230.830000000002</v>
      </c>
      <c r="N141" s="5">
        <v>0.05</v>
      </c>
      <c r="O141" s="2">
        <v>32738.58</v>
      </c>
      <c r="P141" s="2">
        <v>5440.87</v>
      </c>
      <c r="Q141" t="s">
        <v>2168</v>
      </c>
    </row>
    <row r="142" spans="1:17">
      <c r="A142" t="s">
        <v>157</v>
      </c>
      <c r="B142" s="1">
        <v>45690</v>
      </c>
      <c r="C142" t="s">
        <v>1623</v>
      </c>
      <c r="D142" t="s">
        <v>1921</v>
      </c>
      <c r="E142" t="s">
        <v>2114</v>
      </c>
      <c r="F142" t="s">
        <v>2118</v>
      </c>
      <c r="G142" t="s">
        <v>2126</v>
      </c>
      <c r="H142" t="s">
        <v>2137</v>
      </c>
      <c r="I142" t="s">
        <v>2143</v>
      </c>
      <c r="J142" t="s">
        <v>2148</v>
      </c>
      <c r="K142" t="s">
        <v>2156</v>
      </c>
      <c r="L142" s="3">
        <v>4</v>
      </c>
      <c r="M142" s="2">
        <v>1245.3599999999999</v>
      </c>
      <c r="N142" s="5">
        <v>0.05</v>
      </c>
      <c r="O142" s="2">
        <v>4732.37</v>
      </c>
      <c r="P142" s="2">
        <v>741.47</v>
      </c>
      <c r="Q142" t="s">
        <v>2169</v>
      </c>
    </row>
    <row r="143" spans="1:17">
      <c r="A143" t="s">
        <v>158</v>
      </c>
      <c r="B143" s="1">
        <v>45690</v>
      </c>
      <c r="C143" t="s">
        <v>1624</v>
      </c>
      <c r="D143" t="s">
        <v>1922</v>
      </c>
      <c r="E143" t="s">
        <v>2114</v>
      </c>
      <c r="F143" t="s">
        <v>2116</v>
      </c>
      <c r="G143" t="s">
        <v>2127</v>
      </c>
      <c r="H143" t="s">
        <v>2140</v>
      </c>
      <c r="I143" t="s">
        <v>2143</v>
      </c>
      <c r="J143" t="s">
        <v>2149</v>
      </c>
      <c r="K143" t="s">
        <v>2158</v>
      </c>
      <c r="L143" s="3">
        <v>4</v>
      </c>
      <c r="M143" s="2">
        <v>49605.38</v>
      </c>
      <c r="N143" s="5">
        <v>0</v>
      </c>
      <c r="O143" s="2">
        <v>198421.52</v>
      </c>
      <c r="P143" s="2">
        <v>25896.07</v>
      </c>
      <c r="Q143" t="s">
        <v>2167</v>
      </c>
    </row>
    <row r="144" spans="1:17">
      <c r="A144" t="s">
        <v>159</v>
      </c>
      <c r="B144" s="1">
        <v>45690</v>
      </c>
      <c r="C144" t="s">
        <v>1625</v>
      </c>
      <c r="D144" t="s">
        <v>1923</v>
      </c>
      <c r="E144" t="s">
        <v>2114</v>
      </c>
      <c r="F144" t="s">
        <v>2119</v>
      </c>
      <c r="G144" t="s">
        <v>2130</v>
      </c>
      <c r="H144" t="s">
        <v>2141</v>
      </c>
      <c r="I144" t="s">
        <v>2142</v>
      </c>
      <c r="J144" t="s">
        <v>2145</v>
      </c>
      <c r="K144" t="s">
        <v>2153</v>
      </c>
      <c r="L144" s="3">
        <v>1</v>
      </c>
      <c r="M144" s="2">
        <v>11429.27</v>
      </c>
      <c r="N144" s="5">
        <v>0.15</v>
      </c>
      <c r="O144" s="2">
        <v>9714.8799999999992</v>
      </c>
      <c r="P144" s="2">
        <v>1723.84</v>
      </c>
      <c r="Q144" t="s">
        <v>2170</v>
      </c>
    </row>
    <row r="145" spans="1:17">
      <c r="A145" t="s">
        <v>160</v>
      </c>
      <c r="B145" s="1">
        <v>45691</v>
      </c>
      <c r="C145" t="s">
        <v>1626</v>
      </c>
      <c r="D145" t="s">
        <v>1924</v>
      </c>
      <c r="E145" t="s">
        <v>2115</v>
      </c>
      <c r="F145" t="s">
        <v>2117</v>
      </c>
      <c r="G145" t="s">
        <v>2121</v>
      </c>
      <c r="H145" t="s">
        <v>2132</v>
      </c>
      <c r="I145" t="s">
        <v>2143</v>
      </c>
      <c r="J145" t="s">
        <v>2146</v>
      </c>
      <c r="K145" t="s">
        <v>2154</v>
      </c>
      <c r="L145" s="3">
        <v>1</v>
      </c>
      <c r="M145" s="2">
        <v>41966.89</v>
      </c>
      <c r="N145" s="5">
        <v>0.15</v>
      </c>
      <c r="O145" s="2">
        <v>35671.86</v>
      </c>
      <c r="P145" s="2">
        <v>2994.18</v>
      </c>
      <c r="Q145" t="s">
        <v>2169</v>
      </c>
    </row>
    <row r="146" spans="1:17">
      <c r="A146" t="s">
        <v>161</v>
      </c>
      <c r="B146" s="1">
        <v>45691</v>
      </c>
      <c r="C146" t="s">
        <v>1602</v>
      </c>
      <c r="D146" t="s">
        <v>1900</v>
      </c>
      <c r="E146" t="s">
        <v>2113</v>
      </c>
      <c r="F146" t="s">
        <v>2117</v>
      </c>
      <c r="G146" t="s">
        <v>2121</v>
      </c>
      <c r="H146" t="s">
        <v>2132</v>
      </c>
      <c r="I146" t="s">
        <v>2143</v>
      </c>
      <c r="J146" t="s">
        <v>2149</v>
      </c>
      <c r="K146" t="s">
        <v>2163</v>
      </c>
      <c r="L146" s="3">
        <v>2</v>
      </c>
      <c r="M146" s="2">
        <v>66469.399999999994</v>
      </c>
      <c r="N146" s="5">
        <v>0.2</v>
      </c>
      <c r="O146" s="2">
        <v>106351.03999999999</v>
      </c>
      <c r="P146" s="2">
        <v>15215.73</v>
      </c>
      <c r="Q146" t="s">
        <v>2170</v>
      </c>
    </row>
    <row r="147" spans="1:17">
      <c r="A147" t="s">
        <v>162</v>
      </c>
      <c r="B147" s="1">
        <v>45692</v>
      </c>
      <c r="C147" t="s">
        <v>1627</v>
      </c>
      <c r="D147" t="s">
        <v>1925</v>
      </c>
      <c r="E147" t="s">
        <v>2114</v>
      </c>
      <c r="F147" t="s">
        <v>2116</v>
      </c>
      <c r="G147" t="s">
        <v>2120</v>
      </c>
      <c r="H147" t="s">
        <v>2131</v>
      </c>
      <c r="I147" t="s">
        <v>2144</v>
      </c>
      <c r="J147" t="s">
        <v>2152</v>
      </c>
      <c r="K147" t="s">
        <v>2166</v>
      </c>
      <c r="L147" s="3">
        <v>2</v>
      </c>
      <c r="M147" s="2">
        <v>600.21</v>
      </c>
      <c r="N147" s="5">
        <v>0</v>
      </c>
      <c r="O147" s="2">
        <v>1200.42</v>
      </c>
      <c r="P147" s="2">
        <v>372.52</v>
      </c>
      <c r="Q147" t="s">
        <v>2170</v>
      </c>
    </row>
    <row r="148" spans="1:17">
      <c r="A148" t="s">
        <v>163</v>
      </c>
      <c r="B148" s="1">
        <v>45692</v>
      </c>
      <c r="C148" t="s">
        <v>1538</v>
      </c>
      <c r="D148" t="s">
        <v>1836</v>
      </c>
      <c r="E148" t="s">
        <v>2113</v>
      </c>
      <c r="F148" t="s">
        <v>2116</v>
      </c>
      <c r="G148" t="s">
        <v>2127</v>
      </c>
      <c r="H148" t="s">
        <v>2138</v>
      </c>
      <c r="I148" t="s">
        <v>2144</v>
      </c>
      <c r="J148" t="s">
        <v>2152</v>
      </c>
      <c r="K148" t="s">
        <v>2166</v>
      </c>
      <c r="L148" s="3">
        <v>1</v>
      </c>
      <c r="M148" s="2">
        <v>597.62</v>
      </c>
      <c r="N148" s="5">
        <v>0.05</v>
      </c>
      <c r="O148" s="2">
        <v>567.74</v>
      </c>
      <c r="P148" s="2">
        <v>176.61</v>
      </c>
      <c r="Q148" t="s">
        <v>2168</v>
      </c>
    </row>
    <row r="149" spans="1:17">
      <c r="A149" t="s">
        <v>164</v>
      </c>
      <c r="B149" s="1">
        <v>45692</v>
      </c>
      <c r="C149" t="s">
        <v>1628</v>
      </c>
      <c r="D149" t="s">
        <v>1926</v>
      </c>
      <c r="E149" t="s">
        <v>2114</v>
      </c>
      <c r="F149" t="s">
        <v>2118</v>
      </c>
      <c r="G149" t="s">
        <v>2122</v>
      </c>
      <c r="H149" t="s">
        <v>2133</v>
      </c>
      <c r="I149" t="s">
        <v>2142</v>
      </c>
      <c r="J149" t="s">
        <v>2145</v>
      </c>
      <c r="K149" t="s">
        <v>2165</v>
      </c>
      <c r="L149" s="3">
        <v>5</v>
      </c>
      <c r="M149" s="2">
        <v>6814.2</v>
      </c>
      <c r="N149" s="5">
        <v>0.1</v>
      </c>
      <c r="O149" s="2">
        <v>30663.9</v>
      </c>
      <c r="P149" s="2">
        <v>7472.12</v>
      </c>
      <c r="Q149" t="s">
        <v>2168</v>
      </c>
    </row>
    <row r="150" spans="1:17">
      <c r="A150" t="s">
        <v>165</v>
      </c>
      <c r="B150" s="1">
        <v>45692</v>
      </c>
      <c r="C150" t="s">
        <v>1574</v>
      </c>
      <c r="D150" t="s">
        <v>1872</v>
      </c>
      <c r="E150" t="s">
        <v>2115</v>
      </c>
      <c r="F150" t="s">
        <v>2119</v>
      </c>
      <c r="G150" t="s">
        <v>2130</v>
      </c>
      <c r="H150" t="s">
        <v>2141</v>
      </c>
      <c r="I150" t="s">
        <v>2143</v>
      </c>
      <c r="J150" t="s">
        <v>2149</v>
      </c>
      <c r="K150" t="s">
        <v>2163</v>
      </c>
      <c r="L150" s="3">
        <v>5</v>
      </c>
      <c r="M150" s="2">
        <v>66500.639999999999</v>
      </c>
      <c r="N150" s="5">
        <v>0</v>
      </c>
      <c r="O150" s="2">
        <v>332503.2</v>
      </c>
      <c r="P150" s="2">
        <v>70280.42</v>
      </c>
      <c r="Q150" t="s">
        <v>2167</v>
      </c>
    </row>
    <row r="151" spans="1:17">
      <c r="A151" t="s">
        <v>166</v>
      </c>
      <c r="B151" s="1">
        <v>45692</v>
      </c>
      <c r="C151" t="s">
        <v>1629</v>
      </c>
      <c r="D151" t="s">
        <v>1927</v>
      </c>
      <c r="E151" t="s">
        <v>2114</v>
      </c>
      <c r="F151" t="s">
        <v>2119</v>
      </c>
      <c r="G151" t="s">
        <v>2124</v>
      </c>
      <c r="H151" t="s">
        <v>2135</v>
      </c>
      <c r="I151" t="s">
        <v>2143</v>
      </c>
      <c r="J151" t="s">
        <v>2149</v>
      </c>
      <c r="K151" t="s">
        <v>2158</v>
      </c>
      <c r="L151" s="3">
        <v>1</v>
      </c>
      <c r="M151" s="2">
        <v>48879.66</v>
      </c>
      <c r="N151" s="5">
        <v>0</v>
      </c>
      <c r="O151" s="2">
        <v>48879.66</v>
      </c>
      <c r="P151" s="2">
        <v>8084.67</v>
      </c>
      <c r="Q151" t="s">
        <v>2169</v>
      </c>
    </row>
    <row r="152" spans="1:17">
      <c r="A152" t="s">
        <v>167</v>
      </c>
      <c r="B152" s="1">
        <v>45693</v>
      </c>
      <c r="C152" t="s">
        <v>1630</v>
      </c>
      <c r="D152" t="s">
        <v>1928</v>
      </c>
      <c r="E152" t="s">
        <v>2114</v>
      </c>
      <c r="F152" t="s">
        <v>2118</v>
      </c>
      <c r="G152" t="s">
        <v>2126</v>
      </c>
      <c r="H152" t="s">
        <v>2137</v>
      </c>
      <c r="I152" t="s">
        <v>2142</v>
      </c>
      <c r="J152" t="s">
        <v>2147</v>
      </c>
      <c r="K152" t="s">
        <v>2157</v>
      </c>
      <c r="L152" s="3">
        <v>1</v>
      </c>
      <c r="M152" s="2">
        <v>14756.93</v>
      </c>
      <c r="N152" s="5">
        <v>0.05</v>
      </c>
      <c r="O152" s="2">
        <v>14019.08</v>
      </c>
      <c r="P152" s="2">
        <v>2526.4899999999998</v>
      </c>
      <c r="Q152" t="s">
        <v>2167</v>
      </c>
    </row>
    <row r="153" spans="1:17">
      <c r="A153" t="s">
        <v>168</v>
      </c>
      <c r="B153" s="1">
        <v>45693</v>
      </c>
      <c r="C153" t="s">
        <v>1631</v>
      </c>
      <c r="D153" t="s">
        <v>1929</v>
      </c>
      <c r="E153" t="s">
        <v>2115</v>
      </c>
      <c r="F153" t="s">
        <v>2118</v>
      </c>
      <c r="G153" t="s">
        <v>2122</v>
      </c>
      <c r="H153" t="s">
        <v>2133</v>
      </c>
      <c r="I153" t="s">
        <v>2142</v>
      </c>
      <c r="J153" t="s">
        <v>2147</v>
      </c>
      <c r="K153" t="s">
        <v>2157</v>
      </c>
      <c r="L153" s="3">
        <v>1</v>
      </c>
      <c r="M153" s="2">
        <v>14854.61</v>
      </c>
      <c r="N153" s="5">
        <v>0</v>
      </c>
      <c r="O153" s="2">
        <v>14854.61</v>
      </c>
      <c r="P153" s="2">
        <v>2099.5</v>
      </c>
      <c r="Q153" t="s">
        <v>2169</v>
      </c>
    </row>
    <row r="154" spans="1:17">
      <c r="A154" t="s">
        <v>169</v>
      </c>
      <c r="B154" s="1">
        <v>45693</v>
      </c>
      <c r="C154" t="s">
        <v>1626</v>
      </c>
      <c r="D154" t="s">
        <v>1924</v>
      </c>
      <c r="E154" t="s">
        <v>2114</v>
      </c>
      <c r="F154" t="s">
        <v>2117</v>
      </c>
      <c r="G154" t="s">
        <v>2125</v>
      </c>
      <c r="H154" t="s">
        <v>2136</v>
      </c>
      <c r="I154" t="s">
        <v>2142</v>
      </c>
      <c r="J154" t="s">
        <v>2145</v>
      </c>
      <c r="K154" t="s">
        <v>2153</v>
      </c>
      <c r="L154" s="3">
        <v>1</v>
      </c>
      <c r="M154" s="2">
        <v>12039.45</v>
      </c>
      <c r="N154" s="5">
        <v>0.1</v>
      </c>
      <c r="O154" s="2">
        <v>10835.51</v>
      </c>
      <c r="P154" s="2">
        <v>2215.04</v>
      </c>
      <c r="Q154" t="s">
        <v>2168</v>
      </c>
    </row>
    <row r="155" spans="1:17">
      <c r="A155" t="s">
        <v>170</v>
      </c>
      <c r="B155" s="1">
        <v>45693</v>
      </c>
      <c r="C155" t="s">
        <v>1632</v>
      </c>
      <c r="D155" t="s">
        <v>1930</v>
      </c>
      <c r="E155" t="s">
        <v>2113</v>
      </c>
      <c r="F155" t="s">
        <v>2118</v>
      </c>
      <c r="G155" t="s">
        <v>2126</v>
      </c>
      <c r="H155" t="s">
        <v>2137</v>
      </c>
      <c r="I155" t="s">
        <v>2142</v>
      </c>
      <c r="J155" t="s">
        <v>2145</v>
      </c>
      <c r="K155" t="s">
        <v>2153</v>
      </c>
      <c r="L155" s="3">
        <v>2</v>
      </c>
      <c r="M155" s="2">
        <v>11867</v>
      </c>
      <c r="N155" s="5">
        <v>0.1</v>
      </c>
      <c r="O155" s="2">
        <v>21360.6</v>
      </c>
      <c r="P155" s="2">
        <v>3488.26</v>
      </c>
      <c r="Q155" t="s">
        <v>2170</v>
      </c>
    </row>
    <row r="156" spans="1:17">
      <c r="A156" t="s">
        <v>171</v>
      </c>
      <c r="B156" s="1">
        <v>45693</v>
      </c>
      <c r="C156" t="s">
        <v>1633</v>
      </c>
      <c r="D156" t="s">
        <v>1931</v>
      </c>
      <c r="E156" t="s">
        <v>2114</v>
      </c>
      <c r="F156" t="s">
        <v>2116</v>
      </c>
      <c r="G156" t="s">
        <v>2120</v>
      </c>
      <c r="H156" t="s">
        <v>2131</v>
      </c>
      <c r="I156" t="s">
        <v>2143</v>
      </c>
      <c r="J156" t="s">
        <v>2148</v>
      </c>
      <c r="K156" t="s">
        <v>2156</v>
      </c>
      <c r="L156" s="3">
        <v>1</v>
      </c>
      <c r="M156" s="2">
        <v>1185.44</v>
      </c>
      <c r="N156" s="5">
        <v>0</v>
      </c>
      <c r="O156" s="2">
        <v>1185.44</v>
      </c>
      <c r="P156" s="2">
        <v>230.61</v>
      </c>
      <c r="Q156" t="s">
        <v>2168</v>
      </c>
    </row>
    <row r="157" spans="1:17">
      <c r="A157" t="s">
        <v>172</v>
      </c>
      <c r="B157" s="1">
        <v>45693</v>
      </c>
      <c r="C157" t="s">
        <v>1634</v>
      </c>
      <c r="D157" t="s">
        <v>1932</v>
      </c>
      <c r="E157" t="s">
        <v>2115</v>
      </c>
      <c r="F157" t="s">
        <v>2116</v>
      </c>
      <c r="G157" t="s">
        <v>2127</v>
      </c>
      <c r="H157" t="s">
        <v>2140</v>
      </c>
      <c r="I157" t="s">
        <v>2144</v>
      </c>
      <c r="J157" t="s">
        <v>2152</v>
      </c>
      <c r="K157" t="s">
        <v>2166</v>
      </c>
      <c r="L157" s="3">
        <v>1</v>
      </c>
      <c r="M157" s="2">
        <v>615.04</v>
      </c>
      <c r="N157" s="5">
        <v>0</v>
      </c>
      <c r="O157" s="2">
        <v>615.04</v>
      </c>
      <c r="P157" s="2">
        <v>191.5</v>
      </c>
      <c r="Q157" t="s">
        <v>2169</v>
      </c>
    </row>
    <row r="158" spans="1:17">
      <c r="A158" t="s">
        <v>173</v>
      </c>
      <c r="B158" s="1">
        <v>45693</v>
      </c>
      <c r="C158" t="s">
        <v>1562</v>
      </c>
      <c r="D158" t="s">
        <v>1860</v>
      </c>
      <c r="E158" t="s">
        <v>2114</v>
      </c>
      <c r="F158" t="s">
        <v>2118</v>
      </c>
      <c r="G158" t="s">
        <v>2122</v>
      </c>
      <c r="H158" t="s">
        <v>2133</v>
      </c>
      <c r="I158" t="s">
        <v>2142</v>
      </c>
      <c r="J158" t="s">
        <v>2145</v>
      </c>
      <c r="K158" t="s">
        <v>2153</v>
      </c>
      <c r="L158" s="3">
        <v>2</v>
      </c>
      <c r="M158" s="2">
        <v>12500.72</v>
      </c>
      <c r="N158" s="5">
        <v>0.05</v>
      </c>
      <c r="O158" s="2">
        <v>23751.37</v>
      </c>
      <c r="P158" s="2">
        <v>4234</v>
      </c>
      <c r="Q158" t="s">
        <v>2167</v>
      </c>
    </row>
    <row r="159" spans="1:17">
      <c r="A159" t="s">
        <v>174</v>
      </c>
      <c r="B159" s="1">
        <v>45694</v>
      </c>
      <c r="C159" t="s">
        <v>1607</v>
      </c>
      <c r="D159" t="s">
        <v>1905</v>
      </c>
      <c r="E159" t="s">
        <v>2114</v>
      </c>
      <c r="F159" t="s">
        <v>2119</v>
      </c>
      <c r="G159" t="s">
        <v>2130</v>
      </c>
      <c r="H159" t="s">
        <v>2141</v>
      </c>
      <c r="I159" t="s">
        <v>2142</v>
      </c>
      <c r="J159" t="s">
        <v>2151</v>
      </c>
      <c r="K159" t="s">
        <v>2160</v>
      </c>
      <c r="L159" s="3">
        <v>5</v>
      </c>
      <c r="M159" s="2">
        <v>8296.7000000000007</v>
      </c>
      <c r="N159" s="5">
        <v>0.1</v>
      </c>
      <c r="O159" s="2">
        <v>37335.15</v>
      </c>
      <c r="P159" s="2">
        <v>9157.01</v>
      </c>
      <c r="Q159" t="s">
        <v>2170</v>
      </c>
    </row>
    <row r="160" spans="1:17">
      <c r="A160" t="s">
        <v>175</v>
      </c>
      <c r="B160" s="1">
        <v>45694</v>
      </c>
      <c r="C160" t="s">
        <v>1558</v>
      </c>
      <c r="D160" t="s">
        <v>1856</v>
      </c>
      <c r="E160" t="s">
        <v>2114</v>
      </c>
      <c r="F160" t="s">
        <v>2119</v>
      </c>
      <c r="G160" t="s">
        <v>2124</v>
      </c>
      <c r="H160" t="s">
        <v>2135</v>
      </c>
      <c r="I160" t="s">
        <v>2143</v>
      </c>
      <c r="J160" t="s">
        <v>2148</v>
      </c>
      <c r="K160" t="s">
        <v>2161</v>
      </c>
      <c r="L160" s="3">
        <v>2</v>
      </c>
      <c r="M160" s="2">
        <v>1805.05</v>
      </c>
      <c r="N160" s="5">
        <v>0.1</v>
      </c>
      <c r="O160" s="2">
        <v>3249.09</v>
      </c>
      <c r="P160" s="2">
        <v>609.6</v>
      </c>
      <c r="Q160" t="s">
        <v>2168</v>
      </c>
    </row>
    <row r="161" spans="1:17">
      <c r="A161" t="s">
        <v>176</v>
      </c>
      <c r="B161" s="1">
        <v>45694</v>
      </c>
      <c r="C161" t="s">
        <v>1635</v>
      </c>
      <c r="D161" t="s">
        <v>1933</v>
      </c>
      <c r="E161" t="s">
        <v>2114</v>
      </c>
      <c r="F161" t="s">
        <v>2118</v>
      </c>
      <c r="G161" t="s">
        <v>2128</v>
      </c>
      <c r="H161" t="s">
        <v>2128</v>
      </c>
      <c r="I161" t="s">
        <v>2142</v>
      </c>
      <c r="J161" t="s">
        <v>2151</v>
      </c>
      <c r="K161" t="s">
        <v>2160</v>
      </c>
      <c r="L161" s="3">
        <v>3</v>
      </c>
      <c r="M161" s="2">
        <v>8496.4599999999991</v>
      </c>
      <c r="N161" s="5">
        <v>0.1</v>
      </c>
      <c r="O161" s="2">
        <v>22940.44</v>
      </c>
      <c r="P161" s="2">
        <v>5428.14</v>
      </c>
      <c r="Q161" t="s">
        <v>2170</v>
      </c>
    </row>
    <row r="162" spans="1:17">
      <c r="A162" t="s">
        <v>177</v>
      </c>
      <c r="B162" s="1">
        <v>45694</v>
      </c>
      <c r="C162" t="s">
        <v>1636</v>
      </c>
      <c r="D162" t="s">
        <v>1934</v>
      </c>
      <c r="E162" t="s">
        <v>2114</v>
      </c>
      <c r="F162" t="s">
        <v>2116</v>
      </c>
      <c r="G162" t="s">
        <v>2127</v>
      </c>
      <c r="H162" t="s">
        <v>2138</v>
      </c>
      <c r="I162" t="s">
        <v>2144</v>
      </c>
      <c r="J162" t="s">
        <v>2152</v>
      </c>
      <c r="K162" t="s">
        <v>2166</v>
      </c>
      <c r="L162" s="3">
        <v>1</v>
      </c>
      <c r="M162" s="2">
        <v>583.84</v>
      </c>
      <c r="N162" s="5">
        <v>0.05</v>
      </c>
      <c r="O162" s="2">
        <v>554.65</v>
      </c>
      <c r="P162" s="2">
        <v>107.37</v>
      </c>
      <c r="Q162" t="s">
        <v>2168</v>
      </c>
    </row>
    <row r="163" spans="1:17">
      <c r="A163" t="s">
        <v>178</v>
      </c>
      <c r="B163" s="1">
        <v>45694</v>
      </c>
      <c r="C163" t="s">
        <v>1637</v>
      </c>
      <c r="D163" t="s">
        <v>1935</v>
      </c>
      <c r="E163" t="s">
        <v>2114</v>
      </c>
      <c r="F163" t="s">
        <v>2118</v>
      </c>
      <c r="G163" t="s">
        <v>2126</v>
      </c>
      <c r="H163" t="s">
        <v>2137</v>
      </c>
      <c r="I163" t="s">
        <v>2144</v>
      </c>
      <c r="J163" t="s">
        <v>2152</v>
      </c>
      <c r="K163" t="s">
        <v>2166</v>
      </c>
      <c r="L163" s="3">
        <v>1</v>
      </c>
      <c r="M163" s="2">
        <v>599.27</v>
      </c>
      <c r="N163" s="5">
        <v>0</v>
      </c>
      <c r="O163" s="2">
        <v>599.27</v>
      </c>
      <c r="P163" s="2">
        <v>105.48</v>
      </c>
      <c r="Q163" t="s">
        <v>2169</v>
      </c>
    </row>
    <row r="164" spans="1:17">
      <c r="A164" t="s">
        <v>179</v>
      </c>
      <c r="B164" s="1">
        <v>45695</v>
      </c>
      <c r="C164" t="s">
        <v>1638</v>
      </c>
      <c r="D164" t="s">
        <v>1936</v>
      </c>
      <c r="E164" t="s">
        <v>2115</v>
      </c>
      <c r="F164" t="s">
        <v>2118</v>
      </c>
      <c r="G164" t="s">
        <v>2128</v>
      </c>
      <c r="H164" t="s">
        <v>2128</v>
      </c>
      <c r="I164" t="s">
        <v>2143</v>
      </c>
      <c r="J164" t="s">
        <v>2146</v>
      </c>
      <c r="K164" t="s">
        <v>2154</v>
      </c>
      <c r="L164" s="3">
        <v>3</v>
      </c>
      <c r="M164" s="2">
        <v>42213.599999999999</v>
      </c>
      <c r="N164" s="5">
        <v>0.1</v>
      </c>
      <c r="O164" s="2">
        <v>113976.72</v>
      </c>
      <c r="P164" s="2">
        <v>8202.5400000000009</v>
      </c>
      <c r="Q164" t="s">
        <v>2170</v>
      </c>
    </row>
    <row r="165" spans="1:17">
      <c r="A165" t="s">
        <v>180</v>
      </c>
      <c r="B165" s="1">
        <v>45695</v>
      </c>
      <c r="C165" t="s">
        <v>1620</v>
      </c>
      <c r="D165" t="s">
        <v>1918</v>
      </c>
      <c r="E165" t="s">
        <v>2114</v>
      </c>
      <c r="F165" t="s">
        <v>2116</v>
      </c>
      <c r="G165" t="s">
        <v>2120</v>
      </c>
      <c r="H165" t="s">
        <v>2131</v>
      </c>
      <c r="I165" t="s">
        <v>2142</v>
      </c>
      <c r="J165" t="s">
        <v>2147</v>
      </c>
      <c r="K165" t="s">
        <v>2157</v>
      </c>
      <c r="L165" s="3">
        <v>4</v>
      </c>
      <c r="M165" s="2">
        <v>13960.23</v>
      </c>
      <c r="N165" s="5">
        <v>0.05</v>
      </c>
      <c r="O165" s="2">
        <v>53048.87</v>
      </c>
      <c r="P165" s="2">
        <v>5693.32</v>
      </c>
      <c r="Q165" t="s">
        <v>2169</v>
      </c>
    </row>
    <row r="166" spans="1:17">
      <c r="A166" t="s">
        <v>181</v>
      </c>
      <c r="B166" s="1">
        <v>45695</v>
      </c>
      <c r="C166" t="s">
        <v>1612</v>
      </c>
      <c r="D166" t="s">
        <v>1910</v>
      </c>
      <c r="E166" t="s">
        <v>2114</v>
      </c>
      <c r="F166" t="s">
        <v>2119</v>
      </c>
      <c r="G166" t="s">
        <v>2129</v>
      </c>
      <c r="H166" t="s">
        <v>2139</v>
      </c>
      <c r="I166" t="s">
        <v>2142</v>
      </c>
      <c r="J166" t="s">
        <v>2145</v>
      </c>
      <c r="K166" t="s">
        <v>2153</v>
      </c>
      <c r="L166" s="3">
        <v>1</v>
      </c>
      <c r="M166" s="2">
        <v>11597.79</v>
      </c>
      <c r="N166" s="5">
        <v>0.05</v>
      </c>
      <c r="O166" s="2">
        <v>11017.9</v>
      </c>
      <c r="P166" s="2">
        <v>1437.19</v>
      </c>
      <c r="Q166" t="s">
        <v>2170</v>
      </c>
    </row>
    <row r="167" spans="1:17">
      <c r="A167" t="s">
        <v>182</v>
      </c>
      <c r="B167" s="1">
        <v>45695</v>
      </c>
      <c r="C167" t="s">
        <v>1639</v>
      </c>
      <c r="D167" t="s">
        <v>1937</v>
      </c>
      <c r="E167" t="s">
        <v>2115</v>
      </c>
      <c r="F167" t="s">
        <v>2117</v>
      </c>
      <c r="G167" t="s">
        <v>2121</v>
      </c>
      <c r="H167" t="s">
        <v>2132</v>
      </c>
      <c r="I167" t="s">
        <v>2143</v>
      </c>
      <c r="J167" t="s">
        <v>2148</v>
      </c>
      <c r="K167" t="s">
        <v>2156</v>
      </c>
      <c r="L167" s="3">
        <v>1</v>
      </c>
      <c r="M167" s="2">
        <v>1170.56</v>
      </c>
      <c r="N167" s="5">
        <v>0.15</v>
      </c>
      <c r="O167" s="2">
        <v>994.98</v>
      </c>
      <c r="P167" s="2">
        <v>131.24</v>
      </c>
      <c r="Q167" t="s">
        <v>2168</v>
      </c>
    </row>
    <row r="168" spans="1:17">
      <c r="A168" t="s">
        <v>183</v>
      </c>
      <c r="B168" s="1">
        <v>45696</v>
      </c>
      <c r="C168" t="s">
        <v>1571</v>
      </c>
      <c r="D168" t="s">
        <v>1869</v>
      </c>
      <c r="E168" t="s">
        <v>2113</v>
      </c>
      <c r="F168" t="s">
        <v>2116</v>
      </c>
      <c r="G168" t="s">
        <v>2127</v>
      </c>
      <c r="H168" t="s">
        <v>2138</v>
      </c>
      <c r="I168" t="s">
        <v>2144</v>
      </c>
      <c r="J168" t="s">
        <v>2147</v>
      </c>
      <c r="K168" t="s">
        <v>2155</v>
      </c>
      <c r="L168" s="3">
        <v>4</v>
      </c>
      <c r="M168" s="2">
        <v>750.16</v>
      </c>
      <c r="N168" s="5">
        <v>0.1</v>
      </c>
      <c r="O168" s="2">
        <v>2700.58</v>
      </c>
      <c r="P168" s="2">
        <v>445.27</v>
      </c>
      <c r="Q168" t="s">
        <v>2170</v>
      </c>
    </row>
    <row r="169" spans="1:17">
      <c r="A169" t="s">
        <v>184</v>
      </c>
      <c r="B169" s="1">
        <v>45696</v>
      </c>
      <c r="C169" t="s">
        <v>1640</v>
      </c>
      <c r="D169" t="s">
        <v>1938</v>
      </c>
      <c r="E169" t="s">
        <v>2115</v>
      </c>
      <c r="F169" t="s">
        <v>2118</v>
      </c>
      <c r="G169" t="s">
        <v>2128</v>
      </c>
      <c r="H169" t="s">
        <v>2128</v>
      </c>
      <c r="I169" t="s">
        <v>2142</v>
      </c>
      <c r="J169" t="s">
        <v>2151</v>
      </c>
      <c r="K169" t="s">
        <v>2160</v>
      </c>
      <c r="L169" s="3">
        <v>1</v>
      </c>
      <c r="M169" s="2">
        <v>8119.81</v>
      </c>
      <c r="N169" s="5">
        <v>0.1</v>
      </c>
      <c r="O169" s="2">
        <v>7307.83</v>
      </c>
      <c r="P169" s="2">
        <v>1224.3399999999999</v>
      </c>
      <c r="Q169" t="s">
        <v>2167</v>
      </c>
    </row>
    <row r="170" spans="1:17">
      <c r="A170" t="s">
        <v>185</v>
      </c>
      <c r="B170" s="1">
        <v>45696</v>
      </c>
      <c r="C170" t="s">
        <v>1641</v>
      </c>
      <c r="D170" t="s">
        <v>1939</v>
      </c>
      <c r="E170" t="s">
        <v>2113</v>
      </c>
      <c r="F170" t="s">
        <v>2116</v>
      </c>
      <c r="G170" t="s">
        <v>2127</v>
      </c>
      <c r="H170" t="s">
        <v>2138</v>
      </c>
      <c r="I170" t="s">
        <v>2143</v>
      </c>
      <c r="J170" t="s">
        <v>2146</v>
      </c>
      <c r="K170" t="s">
        <v>2164</v>
      </c>
      <c r="L170" s="3">
        <v>2</v>
      </c>
      <c r="M170" s="2">
        <v>18886.349999999999</v>
      </c>
      <c r="N170" s="5">
        <v>0</v>
      </c>
      <c r="O170" s="2">
        <v>37772.699999999997</v>
      </c>
      <c r="P170" s="2">
        <v>6572.59</v>
      </c>
      <c r="Q170" t="s">
        <v>2167</v>
      </c>
    </row>
    <row r="171" spans="1:17">
      <c r="A171" t="s">
        <v>186</v>
      </c>
      <c r="B171" s="1">
        <v>45696</v>
      </c>
      <c r="C171" t="s">
        <v>1530</v>
      </c>
      <c r="D171" t="s">
        <v>1828</v>
      </c>
      <c r="E171" t="s">
        <v>2115</v>
      </c>
      <c r="F171" t="s">
        <v>2118</v>
      </c>
      <c r="G171" t="s">
        <v>2122</v>
      </c>
      <c r="H171" t="s">
        <v>2133</v>
      </c>
      <c r="I171" t="s">
        <v>2143</v>
      </c>
      <c r="J171" t="s">
        <v>2146</v>
      </c>
      <c r="K171" t="s">
        <v>2154</v>
      </c>
      <c r="L171" s="3">
        <v>2</v>
      </c>
      <c r="M171" s="2">
        <v>43420.82</v>
      </c>
      <c r="N171" s="5">
        <v>0.05</v>
      </c>
      <c r="O171" s="2">
        <v>82499.56</v>
      </c>
      <c r="P171" s="2">
        <v>16852.14</v>
      </c>
      <c r="Q171" t="s">
        <v>2167</v>
      </c>
    </row>
    <row r="172" spans="1:17">
      <c r="A172" t="s">
        <v>187</v>
      </c>
      <c r="B172" s="1">
        <v>45697</v>
      </c>
      <c r="C172" t="s">
        <v>1631</v>
      </c>
      <c r="D172" t="s">
        <v>1929</v>
      </c>
      <c r="E172" t="s">
        <v>2115</v>
      </c>
      <c r="F172" t="s">
        <v>2117</v>
      </c>
      <c r="G172" t="s">
        <v>2123</v>
      </c>
      <c r="H172" t="s">
        <v>2134</v>
      </c>
      <c r="I172" t="s">
        <v>2143</v>
      </c>
      <c r="J172" t="s">
        <v>2146</v>
      </c>
      <c r="K172" t="s">
        <v>2164</v>
      </c>
      <c r="L172" s="3">
        <v>1</v>
      </c>
      <c r="M172" s="2">
        <v>18197.43</v>
      </c>
      <c r="N172" s="5">
        <v>0.1</v>
      </c>
      <c r="O172" s="2">
        <v>16377.69</v>
      </c>
      <c r="P172" s="2">
        <v>3180.62</v>
      </c>
      <c r="Q172" t="s">
        <v>2169</v>
      </c>
    </row>
    <row r="173" spans="1:17">
      <c r="A173" t="s">
        <v>188</v>
      </c>
      <c r="B173" s="1">
        <v>45697</v>
      </c>
      <c r="C173" t="s">
        <v>1642</v>
      </c>
      <c r="D173" t="s">
        <v>1940</v>
      </c>
      <c r="E173" t="s">
        <v>2114</v>
      </c>
      <c r="F173" t="s">
        <v>2117</v>
      </c>
      <c r="G173" t="s">
        <v>2121</v>
      </c>
      <c r="H173" t="s">
        <v>2132</v>
      </c>
      <c r="I173" t="s">
        <v>2143</v>
      </c>
      <c r="J173" t="s">
        <v>2146</v>
      </c>
      <c r="K173" t="s">
        <v>2154</v>
      </c>
      <c r="L173" s="3">
        <v>1</v>
      </c>
      <c r="M173" s="2">
        <v>40187.71</v>
      </c>
      <c r="N173" s="5">
        <v>0.05</v>
      </c>
      <c r="O173" s="2">
        <v>38178.32</v>
      </c>
      <c r="P173" s="2">
        <v>5376.11</v>
      </c>
      <c r="Q173" t="s">
        <v>2167</v>
      </c>
    </row>
    <row r="174" spans="1:17">
      <c r="A174" t="s">
        <v>189</v>
      </c>
      <c r="B174" s="1">
        <v>45698</v>
      </c>
      <c r="C174" t="s">
        <v>1520</v>
      </c>
      <c r="D174" t="s">
        <v>1818</v>
      </c>
      <c r="E174" t="s">
        <v>2114</v>
      </c>
      <c r="F174" t="s">
        <v>2118</v>
      </c>
      <c r="G174" t="s">
        <v>2126</v>
      </c>
      <c r="H174" t="s">
        <v>2137</v>
      </c>
      <c r="I174" t="s">
        <v>2143</v>
      </c>
      <c r="J174" t="s">
        <v>2149</v>
      </c>
      <c r="K174" t="s">
        <v>2158</v>
      </c>
      <c r="L174" s="3">
        <v>2</v>
      </c>
      <c r="M174" s="2">
        <v>47839.78</v>
      </c>
      <c r="N174" s="5">
        <v>0.05</v>
      </c>
      <c r="O174" s="2">
        <v>90895.58</v>
      </c>
      <c r="P174" s="2">
        <v>9121.66</v>
      </c>
      <c r="Q174" t="s">
        <v>2170</v>
      </c>
    </row>
    <row r="175" spans="1:17">
      <c r="A175" t="s">
        <v>190</v>
      </c>
      <c r="B175" s="1">
        <v>45698</v>
      </c>
      <c r="C175" t="s">
        <v>1643</v>
      </c>
      <c r="D175" t="s">
        <v>1941</v>
      </c>
      <c r="E175" t="s">
        <v>2114</v>
      </c>
      <c r="F175" t="s">
        <v>2117</v>
      </c>
      <c r="G175" t="s">
        <v>2121</v>
      </c>
      <c r="H175" t="s">
        <v>2132</v>
      </c>
      <c r="I175" t="s">
        <v>2143</v>
      </c>
      <c r="J175" t="s">
        <v>2149</v>
      </c>
      <c r="K175" t="s">
        <v>2158</v>
      </c>
      <c r="L175" s="3">
        <v>5</v>
      </c>
      <c r="M175" s="2">
        <v>50199.61</v>
      </c>
      <c r="N175" s="5">
        <v>0</v>
      </c>
      <c r="O175" s="2">
        <v>250998.05</v>
      </c>
      <c r="P175" s="2">
        <v>23277.97</v>
      </c>
      <c r="Q175" t="s">
        <v>2167</v>
      </c>
    </row>
    <row r="176" spans="1:17">
      <c r="A176" t="s">
        <v>191</v>
      </c>
      <c r="B176" s="1">
        <v>45698</v>
      </c>
      <c r="C176" t="s">
        <v>1644</v>
      </c>
      <c r="D176" t="s">
        <v>1942</v>
      </c>
      <c r="E176" t="s">
        <v>2113</v>
      </c>
      <c r="F176" t="s">
        <v>2117</v>
      </c>
      <c r="G176" t="s">
        <v>2121</v>
      </c>
      <c r="H176" t="s">
        <v>2132</v>
      </c>
      <c r="I176" t="s">
        <v>2144</v>
      </c>
      <c r="J176" t="s">
        <v>2147</v>
      </c>
      <c r="K176" t="s">
        <v>2155</v>
      </c>
      <c r="L176" s="3">
        <v>3</v>
      </c>
      <c r="M176" s="2">
        <v>759.51</v>
      </c>
      <c r="N176" s="5">
        <v>0.1</v>
      </c>
      <c r="O176" s="2">
        <v>2050.6799999999998</v>
      </c>
      <c r="P176" s="2">
        <v>516.53</v>
      </c>
      <c r="Q176" t="s">
        <v>2169</v>
      </c>
    </row>
    <row r="177" spans="1:17">
      <c r="A177" t="s">
        <v>192</v>
      </c>
      <c r="B177" s="1">
        <v>45699</v>
      </c>
      <c r="C177" t="s">
        <v>1645</v>
      </c>
      <c r="D177" t="s">
        <v>1943</v>
      </c>
      <c r="E177" t="s">
        <v>2114</v>
      </c>
      <c r="F177" t="s">
        <v>2117</v>
      </c>
      <c r="G177" t="s">
        <v>2123</v>
      </c>
      <c r="H177" t="s">
        <v>2134</v>
      </c>
      <c r="I177" t="s">
        <v>2142</v>
      </c>
      <c r="J177" t="s">
        <v>2147</v>
      </c>
      <c r="K177" t="s">
        <v>2157</v>
      </c>
      <c r="L177" s="3">
        <v>2</v>
      </c>
      <c r="M177" s="2">
        <v>15034.41</v>
      </c>
      <c r="N177" s="5">
        <v>0.2</v>
      </c>
      <c r="O177" s="2">
        <v>24055.06</v>
      </c>
      <c r="P177" s="2">
        <v>2729.73</v>
      </c>
      <c r="Q177" t="s">
        <v>2168</v>
      </c>
    </row>
    <row r="178" spans="1:17">
      <c r="A178" t="s">
        <v>193</v>
      </c>
      <c r="B178" s="1">
        <v>45699</v>
      </c>
      <c r="C178" t="s">
        <v>1646</v>
      </c>
      <c r="D178" t="s">
        <v>1944</v>
      </c>
      <c r="E178" t="s">
        <v>2114</v>
      </c>
      <c r="F178" t="s">
        <v>2117</v>
      </c>
      <c r="G178" t="s">
        <v>2125</v>
      </c>
      <c r="H178" t="s">
        <v>2136</v>
      </c>
      <c r="I178" t="s">
        <v>2144</v>
      </c>
      <c r="J178" t="s">
        <v>2147</v>
      </c>
      <c r="K178" t="s">
        <v>2155</v>
      </c>
      <c r="L178" s="3">
        <v>1</v>
      </c>
      <c r="M178" s="2">
        <v>782.99</v>
      </c>
      <c r="N178" s="5">
        <v>0.05</v>
      </c>
      <c r="O178" s="2">
        <v>743.84</v>
      </c>
      <c r="P178" s="2">
        <v>149.69999999999999</v>
      </c>
      <c r="Q178" t="s">
        <v>2167</v>
      </c>
    </row>
    <row r="179" spans="1:17">
      <c r="A179" t="s">
        <v>194</v>
      </c>
      <c r="B179" s="1">
        <v>45699</v>
      </c>
      <c r="C179" t="s">
        <v>1647</v>
      </c>
      <c r="D179" t="s">
        <v>1945</v>
      </c>
      <c r="E179" t="s">
        <v>2115</v>
      </c>
      <c r="F179" t="s">
        <v>2118</v>
      </c>
      <c r="G179" t="s">
        <v>2126</v>
      </c>
      <c r="H179" t="s">
        <v>2137</v>
      </c>
      <c r="I179" t="s">
        <v>2142</v>
      </c>
      <c r="J179" t="s">
        <v>2147</v>
      </c>
      <c r="K179" t="s">
        <v>2157</v>
      </c>
      <c r="L179" s="3">
        <v>1</v>
      </c>
      <c r="M179" s="2">
        <v>14950.49</v>
      </c>
      <c r="N179" s="5">
        <v>0.1</v>
      </c>
      <c r="O179" s="2">
        <v>13455.44</v>
      </c>
      <c r="P179" s="2">
        <v>2512.9899999999998</v>
      </c>
      <c r="Q179" t="s">
        <v>2167</v>
      </c>
    </row>
    <row r="180" spans="1:17">
      <c r="A180" t="s">
        <v>195</v>
      </c>
      <c r="B180" s="1">
        <v>45699</v>
      </c>
      <c r="C180" t="s">
        <v>1534</v>
      </c>
      <c r="D180" t="s">
        <v>1832</v>
      </c>
      <c r="E180" t="s">
        <v>2114</v>
      </c>
      <c r="F180" t="s">
        <v>2118</v>
      </c>
      <c r="G180" t="s">
        <v>2122</v>
      </c>
      <c r="H180" t="s">
        <v>2133</v>
      </c>
      <c r="I180" t="s">
        <v>2143</v>
      </c>
      <c r="J180" t="s">
        <v>2149</v>
      </c>
      <c r="K180" t="s">
        <v>2158</v>
      </c>
      <c r="L180" s="3">
        <v>1</v>
      </c>
      <c r="M180" s="2">
        <v>48264.77</v>
      </c>
      <c r="N180" s="5">
        <v>0.05</v>
      </c>
      <c r="O180" s="2">
        <v>45851.53</v>
      </c>
      <c r="P180" s="2">
        <v>7822.15</v>
      </c>
      <c r="Q180" t="s">
        <v>2167</v>
      </c>
    </row>
    <row r="181" spans="1:17">
      <c r="A181" t="s">
        <v>196</v>
      </c>
      <c r="B181" s="1">
        <v>45699</v>
      </c>
      <c r="C181" t="s">
        <v>1648</v>
      </c>
      <c r="D181" t="s">
        <v>1946</v>
      </c>
      <c r="E181" t="s">
        <v>2114</v>
      </c>
      <c r="F181" t="s">
        <v>2118</v>
      </c>
      <c r="G181" t="s">
        <v>2122</v>
      </c>
      <c r="H181" t="s">
        <v>2133</v>
      </c>
      <c r="I181" t="s">
        <v>2143</v>
      </c>
      <c r="J181" t="s">
        <v>2148</v>
      </c>
      <c r="K181" t="s">
        <v>2161</v>
      </c>
      <c r="L181" s="3">
        <v>2</v>
      </c>
      <c r="M181" s="2">
        <v>1867.66</v>
      </c>
      <c r="N181" s="5">
        <v>0.05</v>
      </c>
      <c r="O181" s="2">
        <v>3548.55</v>
      </c>
      <c r="P181" s="2">
        <v>694.03</v>
      </c>
      <c r="Q181" t="s">
        <v>2169</v>
      </c>
    </row>
    <row r="182" spans="1:17">
      <c r="A182" t="s">
        <v>197</v>
      </c>
      <c r="B182" s="1">
        <v>45700</v>
      </c>
      <c r="C182" t="s">
        <v>1606</v>
      </c>
      <c r="D182" t="s">
        <v>1904</v>
      </c>
      <c r="E182" t="s">
        <v>2114</v>
      </c>
      <c r="F182" t="s">
        <v>2116</v>
      </c>
      <c r="G182" t="s">
        <v>2120</v>
      </c>
      <c r="H182" t="s">
        <v>2131</v>
      </c>
      <c r="I182" t="s">
        <v>2143</v>
      </c>
      <c r="J182" t="s">
        <v>2149</v>
      </c>
      <c r="K182" t="s">
        <v>2158</v>
      </c>
      <c r="L182" s="3">
        <v>2</v>
      </c>
      <c r="M182" s="2">
        <v>50106.22</v>
      </c>
      <c r="N182" s="5">
        <v>0.15</v>
      </c>
      <c r="O182" s="2">
        <v>85180.57</v>
      </c>
      <c r="P182" s="2">
        <v>8159.9</v>
      </c>
      <c r="Q182" t="s">
        <v>2167</v>
      </c>
    </row>
    <row r="183" spans="1:17">
      <c r="A183" t="s">
        <v>198</v>
      </c>
      <c r="B183" s="1">
        <v>45700</v>
      </c>
      <c r="C183" t="s">
        <v>1649</v>
      </c>
      <c r="D183" t="s">
        <v>1947</v>
      </c>
      <c r="E183" t="s">
        <v>2115</v>
      </c>
      <c r="F183" t="s">
        <v>2118</v>
      </c>
      <c r="G183" t="s">
        <v>2128</v>
      </c>
      <c r="H183" t="s">
        <v>2128</v>
      </c>
      <c r="I183" t="s">
        <v>2143</v>
      </c>
      <c r="J183" t="s">
        <v>2146</v>
      </c>
      <c r="K183" t="s">
        <v>2154</v>
      </c>
      <c r="L183" s="3">
        <v>4</v>
      </c>
      <c r="M183" s="2">
        <v>41626.83</v>
      </c>
      <c r="N183" s="5">
        <v>0.05</v>
      </c>
      <c r="O183" s="2">
        <v>158181.95000000001</v>
      </c>
      <c r="P183" s="2">
        <v>15659.16</v>
      </c>
      <c r="Q183" t="s">
        <v>2169</v>
      </c>
    </row>
    <row r="184" spans="1:17">
      <c r="A184" t="s">
        <v>199</v>
      </c>
      <c r="B184" s="1">
        <v>45700</v>
      </c>
      <c r="C184" t="s">
        <v>1530</v>
      </c>
      <c r="D184" t="s">
        <v>1828</v>
      </c>
      <c r="E184" t="s">
        <v>2114</v>
      </c>
      <c r="F184" t="s">
        <v>2119</v>
      </c>
      <c r="G184" t="s">
        <v>2130</v>
      </c>
      <c r="H184" t="s">
        <v>2141</v>
      </c>
      <c r="I184" t="s">
        <v>2143</v>
      </c>
      <c r="J184" t="s">
        <v>2148</v>
      </c>
      <c r="K184" t="s">
        <v>2156</v>
      </c>
      <c r="L184" s="3">
        <v>1</v>
      </c>
      <c r="M184" s="2">
        <v>1186.68</v>
      </c>
      <c r="N184" s="5">
        <v>0.1</v>
      </c>
      <c r="O184" s="2">
        <v>1068.01</v>
      </c>
      <c r="P184" s="2">
        <v>199.74</v>
      </c>
      <c r="Q184" t="s">
        <v>2169</v>
      </c>
    </row>
    <row r="185" spans="1:17">
      <c r="A185" t="s">
        <v>200</v>
      </c>
      <c r="B185" s="1">
        <v>45701</v>
      </c>
      <c r="C185" t="s">
        <v>1650</v>
      </c>
      <c r="D185" t="s">
        <v>1948</v>
      </c>
      <c r="E185" t="s">
        <v>2114</v>
      </c>
      <c r="F185" t="s">
        <v>2116</v>
      </c>
      <c r="G185" t="s">
        <v>2127</v>
      </c>
      <c r="H185" t="s">
        <v>2138</v>
      </c>
      <c r="I185" t="s">
        <v>2143</v>
      </c>
      <c r="J185" t="s">
        <v>2148</v>
      </c>
      <c r="K185" t="s">
        <v>2156</v>
      </c>
      <c r="L185" s="3">
        <v>2</v>
      </c>
      <c r="M185" s="2">
        <v>1144.78</v>
      </c>
      <c r="N185" s="5">
        <v>0.05</v>
      </c>
      <c r="O185" s="2">
        <v>2175.08</v>
      </c>
      <c r="P185" s="2">
        <v>220.58</v>
      </c>
      <c r="Q185" t="s">
        <v>2168</v>
      </c>
    </row>
    <row r="186" spans="1:17">
      <c r="A186" t="s">
        <v>201</v>
      </c>
      <c r="B186" s="1">
        <v>45701</v>
      </c>
      <c r="C186" t="s">
        <v>1574</v>
      </c>
      <c r="D186" t="s">
        <v>1872</v>
      </c>
      <c r="E186" t="s">
        <v>2114</v>
      </c>
      <c r="F186" t="s">
        <v>2117</v>
      </c>
      <c r="G186" t="s">
        <v>2123</v>
      </c>
      <c r="H186" t="s">
        <v>2134</v>
      </c>
      <c r="I186" t="s">
        <v>2142</v>
      </c>
      <c r="J186" t="s">
        <v>2145</v>
      </c>
      <c r="K186" t="s">
        <v>2153</v>
      </c>
      <c r="L186" s="3">
        <v>4</v>
      </c>
      <c r="M186" s="2">
        <v>11805.77</v>
      </c>
      <c r="N186" s="5">
        <v>0.1</v>
      </c>
      <c r="O186" s="2">
        <v>42500.77</v>
      </c>
      <c r="P186" s="2">
        <v>5750.26</v>
      </c>
      <c r="Q186" t="s">
        <v>2168</v>
      </c>
    </row>
    <row r="187" spans="1:17">
      <c r="A187" t="s">
        <v>202</v>
      </c>
      <c r="B187" s="1">
        <v>45701</v>
      </c>
      <c r="C187" t="s">
        <v>1651</v>
      </c>
      <c r="D187" t="s">
        <v>1949</v>
      </c>
      <c r="E187" t="s">
        <v>2114</v>
      </c>
      <c r="F187" t="s">
        <v>2119</v>
      </c>
      <c r="G187" t="s">
        <v>2130</v>
      </c>
      <c r="H187" t="s">
        <v>2141</v>
      </c>
      <c r="I187" t="s">
        <v>2143</v>
      </c>
      <c r="J187" t="s">
        <v>2149</v>
      </c>
      <c r="K187" t="s">
        <v>2163</v>
      </c>
      <c r="L187" s="3">
        <v>2</v>
      </c>
      <c r="M187" s="2">
        <v>62384.46</v>
      </c>
      <c r="N187" s="5">
        <v>0.15</v>
      </c>
      <c r="O187" s="2">
        <v>106053.58</v>
      </c>
      <c r="P187" s="2">
        <v>8846.69</v>
      </c>
      <c r="Q187" t="s">
        <v>2169</v>
      </c>
    </row>
    <row r="188" spans="1:17">
      <c r="A188" t="s">
        <v>203</v>
      </c>
      <c r="B188" s="1">
        <v>45701</v>
      </c>
      <c r="C188" t="s">
        <v>1652</v>
      </c>
      <c r="D188" t="s">
        <v>1950</v>
      </c>
      <c r="E188" t="s">
        <v>2115</v>
      </c>
      <c r="F188" t="s">
        <v>2118</v>
      </c>
      <c r="G188" t="s">
        <v>2126</v>
      </c>
      <c r="H188" t="s">
        <v>2137</v>
      </c>
      <c r="I188" t="s">
        <v>2142</v>
      </c>
      <c r="J188" t="s">
        <v>2147</v>
      </c>
      <c r="K188" t="s">
        <v>2157</v>
      </c>
      <c r="L188" s="3">
        <v>1</v>
      </c>
      <c r="M188" s="2">
        <v>14363.29</v>
      </c>
      <c r="N188" s="5">
        <v>0.1</v>
      </c>
      <c r="O188" s="2">
        <v>12926.96</v>
      </c>
      <c r="P188" s="2">
        <v>1394.7</v>
      </c>
      <c r="Q188" t="s">
        <v>2170</v>
      </c>
    </row>
    <row r="189" spans="1:17">
      <c r="A189" t="s">
        <v>204</v>
      </c>
      <c r="B189" s="1">
        <v>45701</v>
      </c>
      <c r="C189" t="s">
        <v>1653</v>
      </c>
      <c r="D189" t="s">
        <v>1951</v>
      </c>
      <c r="E189" t="s">
        <v>2114</v>
      </c>
      <c r="F189" t="s">
        <v>2119</v>
      </c>
      <c r="G189" t="s">
        <v>2124</v>
      </c>
      <c r="H189" t="s">
        <v>2135</v>
      </c>
      <c r="I189" t="s">
        <v>2144</v>
      </c>
      <c r="J189" t="s">
        <v>2150</v>
      </c>
      <c r="K189" t="s">
        <v>2159</v>
      </c>
      <c r="L189" s="3">
        <v>3</v>
      </c>
      <c r="M189" s="2">
        <v>471.95</v>
      </c>
      <c r="N189" s="5">
        <v>0.05</v>
      </c>
      <c r="O189" s="2">
        <v>1345.06</v>
      </c>
      <c r="P189" s="2">
        <v>276.02</v>
      </c>
      <c r="Q189" t="s">
        <v>2170</v>
      </c>
    </row>
    <row r="190" spans="1:17">
      <c r="A190" t="s">
        <v>205</v>
      </c>
      <c r="B190" s="1">
        <v>45702</v>
      </c>
      <c r="C190" t="s">
        <v>1571</v>
      </c>
      <c r="D190" t="s">
        <v>1869</v>
      </c>
      <c r="E190" t="s">
        <v>2114</v>
      </c>
      <c r="F190" t="s">
        <v>2117</v>
      </c>
      <c r="G190" t="s">
        <v>2121</v>
      </c>
      <c r="H190" t="s">
        <v>2132</v>
      </c>
      <c r="I190" t="s">
        <v>2144</v>
      </c>
      <c r="J190" t="s">
        <v>2152</v>
      </c>
      <c r="K190" t="s">
        <v>2162</v>
      </c>
      <c r="L190" s="3">
        <v>1</v>
      </c>
      <c r="M190" s="2">
        <v>362.41</v>
      </c>
      <c r="N190" s="5">
        <v>0.1</v>
      </c>
      <c r="O190" s="2">
        <v>326.17</v>
      </c>
      <c r="P190" s="2">
        <v>38.340000000000003</v>
      </c>
      <c r="Q190" t="s">
        <v>2167</v>
      </c>
    </row>
    <row r="191" spans="1:17">
      <c r="A191" t="s">
        <v>206</v>
      </c>
      <c r="B191" s="1">
        <v>45702</v>
      </c>
      <c r="C191" t="s">
        <v>1654</v>
      </c>
      <c r="D191" t="s">
        <v>1952</v>
      </c>
      <c r="E191" t="s">
        <v>2113</v>
      </c>
      <c r="F191" t="s">
        <v>2116</v>
      </c>
      <c r="G191" t="s">
        <v>2127</v>
      </c>
      <c r="H191" t="s">
        <v>2140</v>
      </c>
      <c r="I191" t="s">
        <v>2144</v>
      </c>
      <c r="J191" t="s">
        <v>2152</v>
      </c>
      <c r="K191" t="s">
        <v>2166</v>
      </c>
      <c r="L191" s="3">
        <v>2</v>
      </c>
      <c r="M191" s="2">
        <v>627.41</v>
      </c>
      <c r="N191" s="5">
        <v>0.15</v>
      </c>
      <c r="O191" s="2">
        <v>1066.5999999999999</v>
      </c>
      <c r="P191" s="2">
        <v>213.19</v>
      </c>
      <c r="Q191" t="s">
        <v>2167</v>
      </c>
    </row>
    <row r="192" spans="1:17">
      <c r="A192" t="s">
        <v>207</v>
      </c>
      <c r="B192" s="1">
        <v>45702</v>
      </c>
      <c r="C192" t="s">
        <v>1523</v>
      </c>
      <c r="D192" t="s">
        <v>1821</v>
      </c>
      <c r="E192" t="s">
        <v>2114</v>
      </c>
      <c r="F192" t="s">
        <v>2119</v>
      </c>
      <c r="G192" t="s">
        <v>2124</v>
      </c>
      <c r="H192" t="s">
        <v>2135</v>
      </c>
      <c r="I192" t="s">
        <v>2143</v>
      </c>
      <c r="J192" t="s">
        <v>2149</v>
      </c>
      <c r="K192" t="s">
        <v>2158</v>
      </c>
      <c r="L192" s="3">
        <v>4</v>
      </c>
      <c r="M192" s="2">
        <v>46770.45</v>
      </c>
      <c r="N192" s="5">
        <v>0</v>
      </c>
      <c r="O192" s="2">
        <v>187081.8</v>
      </c>
      <c r="P192" s="2">
        <v>18962.68</v>
      </c>
      <c r="Q192" t="s">
        <v>2170</v>
      </c>
    </row>
    <row r="193" spans="1:17">
      <c r="A193" t="s">
        <v>208</v>
      </c>
      <c r="B193" s="1">
        <v>45703</v>
      </c>
      <c r="C193" t="s">
        <v>1655</v>
      </c>
      <c r="D193" t="s">
        <v>1953</v>
      </c>
      <c r="E193" t="s">
        <v>2114</v>
      </c>
      <c r="F193" t="s">
        <v>2116</v>
      </c>
      <c r="G193" t="s">
        <v>2127</v>
      </c>
      <c r="H193" t="s">
        <v>2138</v>
      </c>
      <c r="I193" t="s">
        <v>2142</v>
      </c>
      <c r="J193" t="s">
        <v>2145</v>
      </c>
      <c r="K193" t="s">
        <v>2153</v>
      </c>
      <c r="L193" s="3">
        <v>3</v>
      </c>
      <c r="M193" s="2">
        <v>12063.24</v>
      </c>
      <c r="N193" s="5">
        <v>0.1</v>
      </c>
      <c r="O193" s="2">
        <v>32570.75</v>
      </c>
      <c r="P193" s="2">
        <v>4078.03</v>
      </c>
      <c r="Q193" t="s">
        <v>2169</v>
      </c>
    </row>
    <row r="194" spans="1:17">
      <c r="A194" t="s">
        <v>209</v>
      </c>
      <c r="B194" s="1">
        <v>45703</v>
      </c>
      <c r="C194" t="s">
        <v>1545</v>
      </c>
      <c r="D194" t="s">
        <v>1843</v>
      </c>
      <c r="E194" t="s">
        <v>2113</v>
      </c>
      <c r="F194" t="s">
        <v>2117</v>
      </c>
      <c r="G194" t="s">
        <v>2121</v>
      </c>
      <c r="H194" t="s">
        <v>2132</v>
      </c>
      <c r="I194" t="s">
        <v>2143</v>
      </c>
      <c r="J194" t="s">
        <v>2148</v>
      </c>
      <c r="K194" t="s">
        <v>2161</v>
      </c>
      <c r="L194" s="3">
        <v>3</v>
      </c>
      <c r="M194" s="2">
        <v>1873.41</v>
      </c>
      <c r="N194" s="5">
        <v>0.2</v>
      </c>
      <c r="O194" s="2">
        <v>4496.18</v>
      </c>
      <c r="P194" s="2">
        <v>439.61</v>
      </c>
      <c r="Q194" t="s">
        <v>2170</v>
      </c>
    </row>
    <row r="195" spans="1:17">
      <c r="A195" t="s">
        <v>210</v>
      </c>
      <c r="B195" s="1">
        <v>45703</v>
      </c>
      <c r="C195" t="s">
        <v>1591</v>
      </c>
      <c r="D195" t="s">
        <v>1889</v>
      </c>
      <c r="E195" t="s">
        <v>2114</v>
      </c>
      <c r="F195" t="s">
        <v>2118</v>
      </c>
      <c r="G195" t="s">
        <v>2126</v>
      </c>
      <c r="H195" t="s">
        <v>2137</v>
      </c>
      <c r="I195" t="s">
        <v>2143</v>
      </c>
      <c r="J195" t="s">
        <v>2149</v>
      </c>
      <c r="K195" t="s">
        <v>2158</v>
      </c>
      <c r="L195" s="3">
        <v>1</v>
      </c>
      <c r="M195" s="2">
        <v>47857.42</v>
      </c>
      <c r="N195" s="5">
        <v>0.15</v>
      </c>
      <c r="O195" s="2">
        <v>40678.81</v>
      </c>
      <c r="P195" s="2">
        <v>1756.97</v>
      </c>
      <c r="Q195" t="s">
        <v>2170</v>
      </c>
    </row>
    <row r="196" spans="1:17">
      <c r="A196" t="s">
        <v>211</v>
      </c>
      <c r="B196" s="1">
        <v>45703</v>
      </c>
      <c r="C196" t="s">
        <v>1594</v>
      </c>
      <c r="D196" t="s">
        <v>1892</v>
      </c>
      <c r="E196" t="s">
        <v>2113</v>
      </c>
      <c r="F196" t="s">
        <v>2116</v>
      </c>
      <c r="G196" t="s">
        <v>2127</v>
      </c>
      <c r="H196" t="s">
        <v>2138</v>
      </c>
      <c r="I196" t="s">
        <v>2142</v>
      </c>
      <c r="J196" t="s">
        <v>2145</v>
      </c>
      <c r="K196" t="s">
        <v>2165</v>
      </c>
      <c r="L196" s="3">
        <v>2</v>
      </c>
      <c r="M196" s="2">
        <v>6527.29</v>
      </c>
      <c r="N196" s="5">
        <v>0.2</v>
      </c>
      <c r="O196" s="2">
        <v>10443.66</v>
      </c>
      <c r="P196" s="2">
        <v>2499.38</v>
      </c>
      <c r="Q196" t="s">
        <v>2169</v>
      </c>
    </row>
    <row r="197" spans="1:17">
      <c r="A197" t="s">
        <v>212</v>
      </c>
      <c r="B197" s="1">
        <v>45704</v>
      </c>
      <c r="C197" t="s">
        <v>1539</v>
      </c>
      <c r="D197" t="s">
        <v>1837</v>
      </c>
      <c r="E197" t="s">
        <v>2113</v>
      </c>
      <c r="F197" t="s">
        <v>2119</v>
      </c>
      <c r="G197" t="s">
        <v>2130</v>
      </c>
      <c r="H197" t="s">
        <v>2141</v>
      </c>
      <c r="I197" t="s">
        <v>2143</v>
      </c>
      <c r="J197" t="s">
        <v>2146</v>
      </c>
      <c r="K197" t="s">
        <v>2154</v>
      </c>
      <c r="L197" s="3">
        <v>1</v>
      </c>
      <c r="M197" s="2">
        <v>43555.68</v>
      </c>
      <c r="N197" s="5">
        <v>0.15</v>
      </c>
      <c r="O197" s="2">
        <v>37022.33</v>
      </c>
      <c r="P197" s="2">
        <v>4848.91</v>
      </c>
      <c r="Q197" t="s">
        <v>2170</v>
      </c>
    </row>
    <row r="198" spans="1:17">
      <c r="A198" t="s">
        <v>213</v>
      </c>
      <c r="B198" s="1">
        <v>45704</v>
      </c>
      <c r="C198" t="s">
        <v>1655</v>
      </c>
      <c r="D198" t="s">
        <v>1953</v>
      </c>
      <c r="E198" t="s">
        <v>2114</v>
      </c>
      <c r="F198" t="s">
        <v>2116</v>
      </c>
      <c r="G198" t="s">
        <v>2127</v>
      </c>
      <c r="H198" t="s">
        <v>2138</v>
      </c>
      <c r="I198" t="s">
        <v>2142</v>
      </c>
      <c r="J198" t="s">
        <v>2147</v>
      </c>
      <c r="K198" t="s">
        <v>2157</v>
      </c>
      <c r="L198" s="3">
        <v>1</v>
      </c>
      <c r="M198" s="2">
        <v>14919.16</v>
      </c>
      <c r="N198" s="5">
        <v>0.2</v>
      </c>
      <c r="O198" s="2">
        <v>11935.33</v>
      </c>
      <c r="P198" s="2">
        <v>2465.16</v>
      </c>
      <c r="Q198" t="s">
        <v>2168</v>
      </c>
    </row>
    <row r="199" spans="1:17">
      <c r="A199" t="s">
        <v>214</v>
      </c>
      <c r="B199" s="1">
        <v>45704</v>
      </c>
      <c r="C199" t="s">
        <v>1656</v>
      </c>
      <c r="D199" t="s">
        <v>1954</v>
      </c>
      <c r="E199" t="s">
        <v>2115</v>
      </c>
      <c r="F199" t="s">
        <v>2116</v>
      </c>
      <c r="G199" t="s">
        <v>2127</v>
      </c>
      <c r="H199" t="s">
        <v>2138</v>
      </c>
      <c r="I199" t="s">
        <v>2144</v>
      </c>
      <c r="J199" t="s">
        <v>2150</v>
      </c>
      <c r="K199" t="s">
        <v>2159</v>
      </c>
      <c r="L199" s="3">
        <v>1</v>
      </c>
      <c r="M199" s="2">
        <v>461.69</v>
      </c>
      <c r="N199" s="5">
        <v>0.05</v>
      </c>
      <c r="O199" s="2">
        <v>438.61</v>
      </c>
      <c r="P199" s="2">
        <v>88.1</v>
      </c>
      <c r="Q199" t="s">
        <v>2168</v>
      </c>
    </row>
    <row r="200" spans="1:17">
      <c r="A200" t="s">
        <v>215</v>
      </c>
      <c r="B200" s="1">
        <v>45704</v>
      </c>
      <c r="C200" t="s">
        <v>1594</v>
      </c>
      <c r="D200" t="s">
        <v>1892</v>
      </c>
      <c r="E200" t="s">
        <v>2115</v>
      </c>
      <c r="F200" t="s">
        <v>2118</v>
      </c>
      <c r="G200" t="s">
        <v>2126</v>
      </c>
      <c r="H200" t="s">
        <v>2137</v>
      </c>
      <c r="I200" t="s">
        <v>2143</v>
      </c>
      <c r="J200" t="s">
        <v>2149</v>
      </c>
      <c r="K200" t="s">
        <v>2163</v>
      </c>
      <c r="L200" s="3">
        <v>4</v>
      </c>
      <c r="M200" s="2">
        <v>63879.18</v>
      </c>
      <c r="N200" s="5">
        <v>0</v>
      </c>
      <c r="O200" s="2">
        <v>255516.72</v>
      </c>
      <c r="P200" s="2">
        <v>27949.7</v>
      </c>
      <c r="Q200" t="s">
        <v>2169</v>
      </c>
    </row>
    <row r="201" spans="1:17">
      <c r="A201" t="s">
        <v>216</v>
      </c>
      <c r="B201" s="1">
        <v>45704</v>
      </c>
      <c r="C201" t="s">
        <v>1657</v>
      </c>
      <c r="D201" t="s">
        <v>1955</v>
      </c>
      <c r="E201" t="s">
        <v>2115</v>
      </c>
      <c r="F201" t="s">
        <v>2117</v>
      </c>
      <c r="G201" t="s">
        <v>2123</v>
      </c>
      <c r="H201" t="s">
        <v>2134</v>
      </c>
      <c r="I201" t="s">
        <v>2142</v>
      </c>
      <c r="J201" t="s">
        <v>2145</v>
      </c>
      <c r="K201" t="s">
        <v>2153</v>
      </c>
      <c r="L201" s="3">
        <v>1</v>
      </c>
      <c r="M201" s="2">
        <v>11658.28</v>
      </c>
      <c r="N201" s="5">
        <v>0.15</v>
      </c>
      <c r="O201" s="2">
        <v>9909.5400000000009</v>
      </c>
      <c r="P201" s="2">
        <v>1361.23</v>
      </c>
      <c r="Q201" t="s">
        <v>2169</v>
      </c>
    </row>
    <row r="202" spans="1:17">
      <c r="A202" t="s">
        <v>217</v>
      </c>
      <c r="B202" s="1">
        <v>45705</v>
      </c>
      <c r="C202" t="s">
        <v>1604</v>
      </c>
      <c r="D202" t="s">
        <v>1902</v>
      </c>
      <c r="E202" t="s">
        <v>2114</v>
      </c>
      <c r="F202" t="s">
        <v>2116</v>
      </c>
      <c r="G202" t="s">
        <v>2127</v>
      </c>
      <c r="H202" t="s">
        <v>2138</v>
      </c>
      <c r="I202" t="s">
        <v>2144</v>
      </c>
      <c r="J202" t="s">
        <v>2147</v>
      </c>
      <c r="K202" t="s">
        <v>2155</v>
      </c>
      <c r="L202" s="3">
        <v>1</v>
      </c>
      <c r="M202" s="2">
        <v>758.56</v>
      </c>
      <c r="N202" s="5">
        <v>0.15</v>
      </c>
      <c r="O202" s="2">
        <v>644.78</v>
      </c>
      <c r="P202" s="2">
        <v>124.43</v>
      </c>
      <c r="Q202" t="s">
        <v>2168</v>
      </c>
    </row>
    <row r="203" spans="1:17">
      <c r="A203" t="s">
        <v>218</v>
      </c>
      <c r="B203" s="1">
        <v>45705</v>
      </c>
      <c r="C203" t="s">
        <v>1658</v>
      </c>
      <c r="D203" t="s">
        <v>1956</v>
      </c>
      <c r="E203" t="s">
        <v>2114</v>
      </c>
      <c r="F203" t="s">
        <v>2116</v>
      </c>
      <c r="G203" t="s">
        <v>2120</v>
      </c>
      <c r="H203" t="s">
        <v>2131</v>
      </c>
      <c r="I203" t="s">
        <v>2143</v>
      </c>
      <c r="J203" t="s">
        <v>2149</v>
      </c>
      <c r="K203" t="s">
        <v>2163</v>
      </c>
      <c r="L203" s="3">
        <v>1</v>
      </c>
      <c r="M203" s="2">
        <v>65178.720000000001</v>
      </c>
      <c r="N203" s="5">
        <v>0.15</v>
      </c>
      <c r="O203" s="2">
        <v>55401.91</v>
      </c>
      <c r="P203" s="2">
        <v>8219.11</v>
      </c>
      <c r="Q203" t="s">
        <v>2170</v>
      </c>
    </row>
    <row r="204" spans="1:17">
      <c r="A204" t="s">
        <v>219</v>
      </c>
      <c r="B204" s="1">
        <v>45705</v>
      </c>
      <c r="C204" t="s">
        <v>1659</v>
      </c>
      <c r="D204" t="s">
        <v>1957</v>
      </c>
      <c r="E204" t="s">
        <v>2115</v>
      </c>
      <c r="F204" t="s">
        <v>2119</v>
      </c>
      <c r="G204" t="s">
        <v>2130</v>
      </c>
      <c r="H204" t="s">
        <v>2141</v>
      </c>
      <c r="I204" t="s">
        <v>2142</v>
      </c>
      <c r="J204" t="s">
        <v>2145</v>
      </c>
      <c r="K204" t="s">
        <v>2165</v>
      </c>
      <c r="L204" s="3">
        <v>2</v>
      </c>
      <c r="M204" s="2">
        <v>6239.85</v>
      </c>
      <c r="N204" s="5">
        <v>0</v>
      </c>
      <c r="O204" s="2">
        <v>12479.7</v>
      </c>
      <c r="P204" s="2">
        <v>1606.41</v>
      </c>
      <c r="Q204" t="s">
        <v>2167</v>
      </c>
    </row>
    <row r="205" spans="1:17">
      <c r="A205" t="s">
        <v>220</v>
      </c>
      <c r="B205" s="1">
        <v>45705</v>
      </c>
      <c r="C205" t="s">
        <v>1594</v>
      </c>
      <c r="D205" t="s">
        <v>1892</v>
      </c>
      <c r="E205" t="s">
        <v>2115</v>
      </c>
      <c r="F205" t="s">
        <v>2119</v>
      </c>
      <c r="G205" t="s">
        <v>2129</v>
      </c>
      <c r="H205" t="s">
        <v>2139</v>
      </c>
      <c r="I205" t="s">
        <v>2144</v>
      </c>
      <c r="J205" t="s">
        <v>2152</v>
      </c>
      <c r="K205" t="s">
        <v>2166</v>
      </c>
      <c r="L205" s="3">
        <v>4</v>
      </c>
      <c r="M205" s="2">
        <v>611.75</v>
      </c>
      <c r="N205" s="5">
        <v>0.05</v>
      </c>
      <c r="O205" s="2">
        <v>2324.65</v>
      </c>
      <c r="P205" s="2">
        <v>586.78</v>
      </c>
      <c r="Q205" t="s">
        <v>2168</v>
      </c>
    </row>
    <row r="206" spans="1:17">
      <c r="A206" t="s">
        <v>221</v>
      </c>
      <c r="B206" s="1">
        <v>45705</v>
      </c>
      <c r="C206" t="s">
        <v>1628</v>
      </c>
      <c r="D206" t="s">
        <v>1926</v>
      </c>
      <c r="E206" t="s">
        <v>2115</v>
      </c>
      <c r="F206" t="s">
        <v>2116</v>
      </c>
      <c r="G206" t="s">
        <v>2127</v>
      </c>
      <c r="H206" t="s">
        <v>2138</v>
      </c>
      <c r="I206" t="s">
        <v>2143</v>
      </c>
      <c r="J206" t="s">
        <v>2148</v>
      </c>
      <c r="K206" t="s">
        <v>2161</v>
      </c>
      <c r="L206" s="3">
        <v>1</v>
      </c>
      <c r="M206" s="2">
        <v>1776.59</v>
      </c>
      <c r="N206" s="5">
        <v>0.1</v>
      </c>
      <c r="O206" s="2">
        <v>1598.93</v>
      </c>
      <c r="P206" s="2">
        <v>167.16</v>
      </c>
      <c r="Q206" t="s">
        <v>2168</v>
      </c>
    </row>
    <row r="207" spans="1:17">
      <c r="A207" t="s">
        <v>222</v>
      </c>
      <c r="B207" s="1">
        <v>45706</v>
      </c>
      <c r="C207" t="s">
        <v>1660</v>
      </c>
      <c r="D207" t="s">
        <v>1958</v>
      </c>
      <c r="E207" t="s">
        <v>2115</v>
      </c>
      <c r="F207" t="s">
        <v>2117</v>
      </c>
      <c r="G207" t="s">
        <v>2121</v>
      </c>
      <c r="H207" t="s">
        <v>2132</v>
      </c>
      <c r="I207" t="s">
        <v>2144</v>
      </c>
      <c r="J207" t="s">
        <v>2147</v>
      </c>
      <c r="K207" t="s">
        <v>2155</v>
      </c>
      <c r="L207" s="3">
        <v>5</v>
      </c>
      <c r="M207" s="2">
        <v>724.62</v>
      </c>
      <c r="N207" s="5">
        <v>0.1</v>
      </c>
      <c r="O207" s="2">
        <v>3260.79</v>
      </c>
      <c r="P207" s="2">
        <v>1005.18</v>
      </c>
      <c r="Q207" t="s">
        <v>2167</v>
      </c>
    </row>
    <row r="208" spans="1:17">
      <c r="A208" t="s">
        <v>223</v>
      </c>
      <c r="B208" s="1">
        <v>45706</v>
      </c>
      <c r="C208" t="s">
        <v>1541</v>
      </c>
      <c r="D208" t="s">
        <v>1839</v>
      </c>
      <c r="E208" t="s">
        <v>2114</v>
      </c>
      <c r="F208" t="s">
        <v>2116</v>
      </c>
      <c r="G208" t="s">
        <v>2127</v>
      </c>
      <c r="H208" t="s">
        <v>2138</v>
      </c>
      <c r="I208" t="s">
        <v>2143</v>
      </c>
      <c r="J208" t="s">
        <v>2148</v>
      </c>
      <c r="K208" t="s">
        <v>2156</v>
      </c>
      <c r="L208" s="3">
        <v>5</v>
      </c>
      <c r="M208" s="2">
        <v>1189.75</v>
      </c>
      <c r="N208" s="5">
        <v>0</v>
      </c>
      <c r="O208" s="2">
        <v>5948.75</v>
      </c>
      <c r="P208" s="2">
        <v>546.98</v>
      </c>
      <c r="Q208" t="s">
        <v>2168</v>
      </c>
    </row>
    <row r="209" spans="1:17">
      <c r="A209" t="s">
        <v>224</v>
      </c>
      <c r="B209" s="1">
        <v>45706</v>
      </c>
      <c r="C209" t="s">
        <v>1629</v>
      </c>
      <c r="D209" t="s">
        <v>1927</v>
      </c>
      <c r="E209" t="s">
        <v>2114</v>
      </c>
      <c r="F209" t="s">
        <v>2116</v>
      </c>
      <c r="G209" t="s">
        <v>2127</v>
      </c>
      <c r="H209" t="s">
        <v>2138</v>
      </c>
      <c r="I209" t="s">
        <v>2143</v>
      </c>
      <c r="J209" t="s">
        <v>2148</v>
      </c>
      <c r="K209" t="s">
        <v>2156</v>
      </c>
      <c r="L209" s="3">
        <v>2</v>
      </c>
      <c r="M209" s="2">
        <v>1216.93</v>
      </c>
      <c r="N209" s="5">
        <v>0.15</v>
      </c>
      <c r="O209" s="2">
        <v>2068.7800000000002</v>
      </c>
      <c r="P209" s="2">
        <v>183.98</v>
      </c>
      <c r="Q209" t="s">
        <v>2168</v>
      </c>
    </row>
    <row r="210" spans="1:17">
      <c r="A210" t="s">
        <v>225</v>
      </c>
      <c r="B210" s="1">
        <v>45706</v>
      </c>
      <c r="C210" t="s">
        <v>1644</v>
      </c>
      <c r="D210" t="s">
        <v>1942</v>
      </c>
      <c r="E210" t="s">
        <v>2114</v>
      </c>
      <c r="F210" t="s">
        <v>2118</v>
      </c>
      <c r="G210" t="s">
        <v>2122</v>
      </c>
      <c r="H210" t="s">
        <v>2133</v>
      </c>
      <c r="I210" t="s">
        <v>2144</v>
      </c>
      <c r="J210" t="s">
        <v>2150</v>
      </c>
      <c r="K210" t="s">
        <v>2159</v>
      </c>
      <c r="L210" s="3">
        <v>1</v>
      </c>
      <c r="M210" s="2">
        <v>431.41</v>
      </c>
      <c r="N210" s="5">
        <v>0.1</v>
      </c>
      <c r="O210" s="2">
        <v>388.27</v>
      </c>
      <c r="P210" s="2">
        <v>108.34</v>
      </c>
      <c r="Q210" t="s">
        <v>2169</v>
      </c>
    </row>
    <row r="211" spans="1:17">
      <c r="A211" t="s">
        <v>226</v>
      </c>
      <c r="B211" s="1">
        <v>45706</v>
      </c>
      <c r="C211" t="s">
        <v>1550</v>
      </c>
      <c r="D211" t="s">
        <v>1848</v>
      </c>
      <c r="E211" t="s">
        <v>2114</v>
      </c>
      <c r="F211" t="s">
        <v>2116</v>
      </c>
      <c r="G211" t="s">
        <v>2127</v>
      </c>
      <c r="H211" t="s">
        <v>2138</v>
      </c>
      <c r="I211" t="s">
        <v>2143</v>
      </c>
      <c r="J211" t="s">
        <v>2148</v>
      </c>
      <c r="K211" t="s">
        <v>2161</v>
      </c>
      <c r="L211" s="3">
        <v>5</v>
      </c>
      <c r="M211" s="2">
        <v>1848.46</v>
      </c>
      <c r="N211" s="5">
        <v>0.05</v>
      </c>
      <c r="O211" s="2">
        <v>8780.18</v>
      </c>
      <c r="P211" s="2">
        <v>1384.45</v>
      </c>
      <c r="Q211" t="s">
        <v>2170</v>
      </c>
    </row>
    <row r="212" spans="1:17">
      <c r="A212" t="s">
        <v>227</v>
      </c>
      <c r="B212" s="1">
        <v>45706</v>
      </c>
      <c r="C212" t="s">
        <v>1661</v>
      </c>
      <c r="D212" t="s">
        <v>1959</v>
      </c>
      <c r="E212" t="s">
        <v>2114</v>
      </c>
      <c r="F212" t="s">
        <v>2118</v>
      </c>
      <c r="G212" t="s">
        <v>2128</v>
      </c>
      <c r="H212" t="s">
        <v>2128</v>
      </c>
      <c r="I212" t="s">
        <v>2142</v>
      </c>
      <c r="J212" t="s">
        <v>2151</v>
      </c>
      <c r="K212" t="s">
        <v>2160</v>
      </c>
      <c r="L212" s="3">
        <v>3</v>
      </c>
      <c r="M212" s="2">
        <v>8697.58</v>
      </c>
      <c r="N212" s="5">
        <v>0.1</v>
      </c>
      <c r="O212" s="2">
        <v>23483.47</v>
      </c>
      <c r="P212" s="2">
        <v>3808.1</v>
      </c>
      <c r="Q212" t="s">
        <v>2170</v>
      </c>
    </row>
    <row r="213" spans="1:17">
      <c r="A213" t="s">
        <v>228</v>
      </c>
      <c r="B213" s="1">
        <v>45706</v>
      </c>
      <c r="C213" t="s">
        <v>1662</v>
      </c>
      <c r="D213" t="s">
        <v>1960</v>
      </c>
      <c r="E213" t="s">
        <v>2114</v>
      </c>
      <c r="F213" t="s">
        <v>2117</v>
      </c>
      <c r="G213" t="s">
        <v>2121</v>
      </c>
      <c r="H213" t="s">
        <v>2132</v>
      </c>
      <c r="I213" t="s">
        <v>2143</v>
      </c>
      <c r="J213" t="s">
        <v>2149</v>
      </c>
      <c r="K213" t="s">
        <v>2163</v>
      </c>
      <c r="L213" s="3">
        <v>1</v>
      </c>
      <c r="M213" s="2">
        <v>62504.35</v>
      </c>
      <c r="N213" s="5">
        <v>0.1</v>
      </c>
      <c r="O213" s="2">
        <v>56253.919999999998</v>
      </c>
      <c r="P213" s="2">
        <v>4047.84</v>
      </c>
      <c r="Q213" t="s">
        <v>2170</v>
      </c>
    </row>
    <row r="214" spans="1:17">
      <c r="A214" t="s">
        <v>229</v>
      </c>
      <c r="B214" s="1">
        <v>45707</v>
      </c>
      <c r="C214" t="s">
        <v>1586</v>
      </c>
      <c r="D214" t="s">
        <v>1884</v>
      </c>
      <c r="E214" t="s">
        <v>2114</v>
      </c>
      <c r="F214" t="s">
        <v>2117</v>
      </c>
      <c r="G214" t="s">
        <v>2125</v>
      </c>
      <c r="H214" t="s">
        <v>2136</v>
      </c>
      <c r="I214" t="s">
        <v>2144</v>
      </c>
      <c r="J214" t="s">
        <v>2152</v>
      </c>
      <c r="K214" t="s">
        <v>2162</v>
      </c>
      <c r="L214" s="3">
        <v>1</v>
      </c>
      <c r="M214" s="2">
        <v>335.69</v>
      </c>
      <c r="N214" s="5">
        <v>0</v>
      </c>
      <c r="O214" s="2">
        <v>335.69</v>
      </c>
      <c r="P214" s="2">
        <v>60.67</v>
      </c>
      <c r="Q214" t="s">
        <v>2170</v>
      </c>
    </row>
    <row r="215" spans="1:17">
      <c r="A215" t="s">
        <v>230</v>
      </c>
      <c r="B215" s="1">
        <v>45707</v>
      </c>
      <c r="C215" t="s">
        <v>1631</v>
      </c>
      <c r="D215" t="s">
        <v>1929</v>
      </c>
      <c r="E215" t="s">
        <v>2113</v>
      </c>
      <c r="F215" t="s">
        <v>2118</v>
      </c>
      <c r="G215" t="s">
        <v>2128</v>
      </c>
      <c r="H215" t="s">
        <v>2128</v>
      </c>
      <c r="I215" t="s">
        <v>2142</v>
      </c>
      <c r="J215" t="s">
        <v>2145</v>
      </c>
      <c r="K215" t="s">
        <v>2165</v>
      </c>
      <c r="L215" s="3">
        <v>2</v>
      </c>
      <c r="M215" s="2">
        <v>6657.48</v>
      </c>
      <c r="N215" s="5">
        <v>0</v>
      </c>
      <c r="O215" s="2">
        <v>13314.96</v>
      </c>
      <c r="P215" s="2">
        <v>1651.48</v>
      </c>
      <c r="Q215" t="s">
        <v>2170</v>
      </c>
    </row>
    <row r="216" spans="1:17">
      <c r="A216" t="s">
        <v>231</v>
      </c>
      <c r="B216" s="1">
        <v>45707</v>
      </c>
      <c r="C216" t="s">
        <v>1600</v>
      </c>
      <c r="D216" t="s">
        <v>1898</v>
      </c>
      <c r="E216" t="s">
        <v>2114</v>
      </c>
      <c r="F216" t="s">
        <v>2118</v>
      </c>
      <c r="G216" t="s">
        <v>2126</v>
      </c>
      <c r="H216" t="s">
        <v>2137</v>
      </c>
      <c r="I216" t="s">
        <v>2144</v>
      </c>
      <c r="J216" t="s">
        <v>2152</v>
      </c>
      <c r="K216" t="s">
        <v>2162</v>
      </c>
      <c r="L216" s="3">
        <v>1</v>
      </c>
      <c r="M216" s="2">
        <v>357.76</v>
      </c>
      <c r="N216" s="5">
        <v>0.15</v>
      </c>
      <c r="O216" s="2">
        <v>304.10000000000002</v>
      </c>
      <c r="P216" s="2">
        <v>39.619999999999997</v>
      </c>
      <c r="Q216" t="s">
        <v>2171</v>
      </c>
    </row>
    <row r="217" spans="1:17">
      <c r="A217" t="s">
        <v>232</v>
      </c>
      <c r="B217" s="1">
        <v>45707</v>
      </c>
      <c r="C217" t="s">
        <v>1663</v>
      </c>
      <c r="D217" t="s">
        <v>1961</v>
      </c>
      <c r="E217" t="s">
        <v>2113</v>
      </c>
      <c r="F217" t="s">
        <v>2116</v>
      </c>
      <c r="G217" t="s">
        <v>2120</v>
      </c>
      <c r="H217" t="s">
        <v>2131</v>
      </c>
      <c r="I217" t="s">
        <v>2143</v>
      </c>
      <c r="J217" t="s">
        <v>2148</v>
      </c>
      <c r="K217" t="s">
        <v>2156</v>
      </c>
      <c r="L217" s="3">
        <v>2</v>
      </c>
      <c r="M217" s="2">
        <v>1211.26</v>
      </c>
      <c r="N217" s="5">
        <v>0.2</v>
      </c>
      <c r="O217" s="2">
        <v>1938.02</v>
      </c>
      <c r="P217" s="2">
        <v>143.68</v>
      </c>
      <c r="Q217" t="s">
        <v>2167</v>
      </c>
    </row>
    <row r="218" spans="1:17">
      <c r="A218" t="s">
        <v>233</v>
      </c>
      <c r="B218" s="1">
        <v>45707</v>
      </c>
      <c r="C218" t="s">
        <v>1563</v>
      </c>
      <c r="D218" t="s">
        <v>1861</v>
      </c>
      <c r="E218" t="s">
        <v>2113</v>
      </c>
      <c r="F218" t="s">
        <v>2119</v>
      </c>
      <c r="G218" t="s">
        <v>2130</v>
      </c>
      <c r="H218" t="s">
        <v>2141</v>
      </c>
      <c r="I218" t="s">
        <v>2143</v>
      </c>
      <c r="J218" t="s">
        <v>2146</v>
      </c>
      <c r="K218" t="s">
        <v>2164</v>
      </c>
      <c r="L218" s="3">
        <v>3</v>
      </c>
      <c r="M218" s="2">
        <v>18682.7</v>
      </c>
      <c r="N218" s="5">
        <v>0.05</v>
      </c>
      <c r="O218" s="2">
        <v>53245.69</v>
      </c>
      <c r="P218" s="2">
        <v>9325.7000000000007</v>
      </c>
      <c r="Q218" t="s">
        <v>2169</v>
      </c>
    </row>
    <row r="219" spans="1:17">
      <c r="A219" t="s">
        <v>234</v>
      </c>
      <c r="B219" s="1">
        <v>45707</v>
      </c>
      <c r="C219" t="s">
        <v>1664</v>
      </c>
      <c r="D219" t="s">
        <v>1962</v>
      </c>
      <c r="E219" t="s">
        <v>2113</v>
      </c>
      <c r="F219" t="s">
        <v>2116</v>
      </c>
      <c r="G219" t="s">
        <v>2120</v>
      </c>
      <c r="H219" t="s">
        <v>2131</v>
      </c>
      <c r="I219" t="s">
        <v>2143</v>
      </c>
      <c r="J219" t="s">
        <v>2146</v>
      </c>
      <c r="K219" t="s">
        <v>2154</v>
      </c>
      <c r="L219" s="3">
        <v>5</v>
      </c>
      <c r="M219" s="2">
        <v>41242.54</v>
      </c>
      <c r="N219" s="5">
        <v>0</v>
      </c>
      <c r="O219" s="2">
        <v>206212.7</v>
      </c>
      <c r="P219" s="2">
        <v>29147.08</v>
      </c>
      <c r="Q219" t="s">
        <v>2167</v>
      </c>
    </row>
    <row r="220" spans="1:17">
      <c r="A220" t="s">
        <v>235</v>
      </c>
      <c r="B220" s="1">
        <v>45708</v>
      </c>
      <c r="C220" t="s">
        <v>1665</v>
      </c>
      <c r="D220" t="s">
        <v>1963</v>
      </c>
      <c r="E220" t="s">
        <v>2114</v>
      </c>
      <c r="F220" t="s">
        <v>2119</v>
      </c>
      <c r="G220" t="s">
        <v>2130</v>
      </c>
      <c r="H220" t="s">
        <v>2141</v>
      </c>
      <c r="I220" t="s">
        <v>2144</v>
      </c>
      <c r="J220" t="s">
        <v>2152</v>
      </c>
      <c r="K220" t="s">
        <v>2162</v>
      </c>
      <c r="L220" s="3">
        <v>1</v>
      </c>
      <c r="M220" s="2">
        <v>351.77</v>
      </c>
      <c r="N220" s="5">
        <v>0.1</v>
      </c>
      <c r="O220" s="2">
        <v>316.58999999999997</v>
      </c>
      <c r="P220" s="2">
        <v>51.16</v>
      </c>
      <c r="Q220" t="s">
        <v>2167</v>
      </c>
    </row>
    <row r="221" spans="1:17">
      <c r="A221" t="s">
        <v>236</v>
      </c>
      <c r="B221" s="1">
        <v>45708</v>
      </c>
      <c r="C221" t="s">
        <v>1666</v>
      </c>
      <c r="D221" t="s">
        <v>1964</v>
      </c>
      <c r="E221" t="s">
        <v>2114</v>
      </c>
      <c r="F221" t="s">
        <v>2118</v>
      </c>
      <c r="G221" t="s">
        <v>2128</v>
      </c>
      <c r="H221" t="s">
        <v>2128</v>
      </c>
      <c r="I221" t="s">
        <v>2144</v>
      </c>
      <c r="J221" t="s">
        <v>2152</v>
      </c>
      <c r="K221" t="s">
        <v>2162</v>
      </c>
      <c r="L221" s="3">
        <v>2</v>
      </c>
      <c r="M221" s="2">
        <v>346.68</v>
      </c>
      <c r="N221" s="5">
        <v>0.1</v>
      </c>
      <c r="O221" s="2">
        <v>624.02</v>
      </c>
      <c r="P221" s="2">
        <v>104.39</v>
      </c>
      <c r="Q221" t="s">
        <v>2168</v>
      </c>
    </row>
    <row r="222" spans="1:17">
      <c r="A222" t="s">
        <v>237</v>
      </c>
      <c r="B222" s="1">
        <v>45708</v>
      </c>
      <c r="C222" t="s">
        <v>1667</v>
      </c>
      <c r="D222" t="s">
        <v>1965</v>
      </c>
      <c r="E222" t="s">
        <v>2113</v>
      </c>
      <c r="F222" t="s">
        <v>2117</v>
      </c>
      <c r="G222" t="s">
        <v>2121</v>
      </c>
      <c r="H222" t="s">
        <v>2132</v>
      </c>
      <c r="I222" t="s">
        <v>2143</v>
      </c>
      <c r="J222" t="s">
        <v>2148</v>
      </c>
      <c r="K222" t="s">
        <v>2161</v>
      </c>
      <c r="L222" s="3">
        <v>3</v>
      </c>
      <c r="M222" s="2">
        <v>1774.83</v>
      </c>
      <c r="N222" s="5">
        <v>0</v>
      </c>
      <c r="O222" s="2">
        <v>5324.49</v>
      </c>
      <c r="P222" s="2">
        <v>1147.69</v>
      </c>
      <c r="Q222" t="s">
        <v>2169</v>
      </c>
    </row>
    <row r="223" spans="1:17">
      <c r="A223" t="s">
        <v>238</v>
      </c>
      <c r="B223" s="1">
        <v>45708</v>
      </c>
      <c r="C223" t="s">
        <v>1668</v>
      </c>
      <c r="D223" t="s">
        <v>1966</v>
      </c>
      <c r="E223" t="s">
        <v>2114</v>
      </c>
      <c r="F223" t="s">
        <v>2118</v>
      </c>
      <c r="G223" t="s">
        <v>2128</v>
      </c>
      <c r="H223" t="s">
        <v>2128</v>
      </c>
      <c r="I223" t="s">
        <v>2143</v>
      </c>
      <c r="J223" t="s">
        <v>2149</v>
      </c>
      <c r="K223" t="s">
        <v>2163</v>
      </c>
      <c r="L223" s="3">
        <v>3</v>
      </c>
      <c r="M223" s="2">
        <v>65641.14</v>
      </c>
      <c r="N223" s="5">
        <v>0.1</v>
      </c>
      <c r="O223" s="2">
        <v>177231.08</v>
      </c>
      <c r="P223" s="2">
        <v>16634.61</v>
      </c>
      <c r="Q223" t="s">
        <v>2170</v>
      </c>
    </row>
    <row r="224" spans="1:17">
      <c r="A224" t="s">
        <v>239</v>
      </c>
      <c r="B224" s="1">
        <v>45709</v>
      </c>
      <c r="C224" t="s">
        <v>1603</v>
      </c>
      <c r="D224" t="s">
        <v>1901</v>
      </c>
      <c r="E224" t="s">
        <v>2114</v>
      </c>
      <c r="F224" t="s">
        <v>2119</v>
      </c>
      <c r="G224" t="s">
        <v>2124</v>
      </c>
      <c r="H224" t="s">
        <v>2135</v>
      </c>
      <c r="I224" t="s">
        <v>2144</v>
      </c>
      <c r="J224" t="s">
        <v>2147</v>
      </c>
      <c r="K224" t="s">
        <v>2155</v>
      </c>
      <c r="L224" s="3">
        <v>1</v>
      </c>
      <c r="M224" s="2">
        <v>776.04</v>
      </c>
      <c r="N224" s="5">
        <v>0.2</v>
      </c>
      <c r="O224" s="2">
        <v>620.83000000000004</v>
      </c>
      <c r="P224" s="2">
        <v>95.07</v>
      </c>
      <c r="Q224" t="s">
        <v>2168</v>
      </c>
    </row>
    <row r="225" spans="1:17">
      <c r="A225" t="s">
        <v>240</v>
      </c>
      <c r="B225" s="1">
        <v>45709</v>
      </c>
      <c r="C225" t="s">
        <v>1669</v>
      </c>
      <c r="D225" t="s">
        <v>1967</v>
      </c>
      <c r="E225" t="s">
        <v>2113</v>
      </c>
      <c r="F225" t="s">
        <v>2119</v>
      </c>
      <c r="G225" t="s">
        <v>2129</v>
      </c>
      <c r="H225" t="s">
        <v>2139</v>
      </c>
      <c r="I225" t="s">
        <v>2144</v>
      </c>
      <c r="J225" t="s">
        <v>2152</v>
      </c>
      <c r="K225" t="s">
        <v>2162</v>
      </c>
      <c r="L225" s="3">
        <v>2</v>
      </c>
      <c r="M225" s="2">
        <v>349.27</v>
      </c>
      <c r="N225" s="5">
        <v>0</v>
      </c>
      <c r="O225" s="2">
        <v>698.54</v>
      </c>
      <c r="P225" s="2">
        <v>131.96</v>
      </c>
      <c r="Q225" t="s">
        <v>2169</v>
      </c>
    </row>
    <row r="226" spans="1:17">
      <c r="A226" t="s">
        <v>241</v>
      </c>
      <c r="B226" s="1">
        <v>45709</v>
      </c>
      <c r="C226" t="s">
        <v>1637</v>
      </c>
      <c r="D226" t="s">
        <v>1935</v>
      </c>
      <c r="E226" t="s">
        <v>2113</v>
      </c>
      <c r="F226" t="s">
        <v>2116</v>
      </c>
      <c r="G226" t="s">
        <v>2120</v>
      </c>
      <c r="H226" t="s">
        <v>2131</v>
      </c>
      <c r="I226" t="s">
        <v>2143</v>
      </c>
      <c r="J226" t="s">
        <v>2146</v>
      </c>
      <c r="K226" t="s">
        <v>2164</v>
      </c>
      <c r="L226" s="3">
        <v>1</v>
      </c>
      <c r="M226" s="2">
        <v>18083.91</v>
      </c>
      <c r="N226" s="5">
        <v>0.05</v>
      </c>
      <c r="O226" s="2">
        <v>17179.71</v>
      </c>
      <c r="P226" s="2">
        <v>2176.4699999999998</v>
      </c>
      <c r="Q226" t="s">
        <v>2169</v>
      </c>
    </row>
    <row r="227" spans="1:17">
      <c r="A227" t="s">
        <v>242</v>
      </c>
      <c r="B227" s="1">
        <v>45710</v>
      </c>
      <c r="C227" t="s">
        <v>1548</v>
      </c>
      <c r="D227" t="s">
        <v>1846</v>
      </c>
      <c r="E227" t="s">
        <v>2114</v>
      </c>
      <c r="F227" t="s">
        <v>2118</v>
      </c>
      <c r="G227" t="s">
        <v>2128</v>
      </c>
      <c r="H227" t="s">
        <v>2128</v>
      </c>
      <c r="I227" t="s">
        <v>2142</v>
      </c>
      <c r="J227" t="s">
        <v>2151</v>
      </c>
      <c r="K227" t="s">
        <v>2160</v>
      </c>
      <c r="L227" s="3">
        <v>1</v>
      </c>
      <c r="M227" s="2">
        <v>8320.58</v>
      </c>
      <c r="N227" s="5">
        <v>0</v>
      </c>
      <c r="O227" s="2">
        <v>8320.58</v>
      </c>
      <c r="P227" s="2">
        <v>1833.77</v>
      </c>
      <c r="Q227" t="s">
        <v>2169</v>
      </c>
    </row>
    <row r="228" spans="1:17">
      <c r="A228" t="s">
        <v>243</v>
      </c>
      <c r="B228" s="1">
        <v>45710</v>
      </c>
      <c r="C228" t="s">
        <v>1639</v>
      </c>
      <c r="D228" t="s">
        <v>1937</v>
      </c>
      <c r="E228" t="s">
        <v>2113</v>
      </c>
      <c r="F228" t="s">
        <v>2117</v>
      </c>
      <c r="G228" t="s">
        <v>2125</v>
      </c>
      <c r="H228" t="s">
        <v>2136</v>
      </c>
      <c r="I228" t="s">
        <v>2144</v>
      </c>
      <c r="J228" t="s">
        <v>2152</v>
      </c>
      <c r="K228" t="s">
        <v>2162</v>
      </c>
      <c r="L228" s="3">
        <v>4</v>
      </c>
      <c r="M228" s="2">
        <v>340.78</v>
      </c>
      <c r="N228" s="5">
        <v>0</v>
      </c>
      <c r="O228" s="2">
        <v>1363.12</v>
      </c>
      <c r="P228" s="2">
        <v>447.03</v>
      </c>
      <c r="Q228" t="s">
        <v>2169</v>
      </c>
    </row>
    <row r="229" spans="1:17">
      <c r="A229" t="s">
        <v>244</v>
      </c>
      <c r="B229" s="1">
        <v>45710</v>
      </c>
      <c r="C229" t="s">
        <v>1650</v>
      </c>
      <c r="D229" t="s">
        <v>1948</v>
      </c>
      <c r="E229" t="s">
        <v>2114</v>
      </c>
      <c r="F229" t="s">
        <v>2116</v>
      </c>
      <c r="G229" t="s">
        <v>2127</v>
      </c>
      <c r="H229" t="s">
        <v>2140</v>
      </c>
      <c r="I229" t="s">
        <v>2143</v>
      </c>
      <c r="J229" t="s">
        <v>2148</v>
      </c>
      <c r="K229" t="s">
        <v>2161</v>
      </c>
      <c r="L229" s="3">
        <v>1</v>
      </c>
      <c r="M229" s="2">
        <v>1774.83</v>
      </c>
      <c r="N229" s="5">
        <v>0.15</v>
      </c>
      <c r="O229" s="2">
        <v>1508.61</v>
      </c>
      <c r="P229" s="2">
        <v>95.35</v>
      </c>
      <c r="Q229" t="s">
        <v>2170</v>
      </c>
    </row>
    <row r="230" spans="1:17">
      <c r="A230" t="s">
        <v>245</v>
      </c>
      <c r="B230" s="1">
        <v>45710</v>
      </c>
      <c r="C230" t="s">
        <v>1670</v>
      </c>
      <c r="D230" t="s">
        <v>1968</v>
      </c>
      <c r="E230" t="s">
        <v>2114</v>
      </c>
      <c r="F230" t="s">
        <v>2117</v>
      </c>
      <c r="G230" t="s">
        <v>2125</v>
      </c>
      <c r="H230" t="s">
        <v>2136</v>
      </c>
      <c r="I230" t="s">
        <v>2143</v>
      </c>
      <c r="J230" t="s">
        <v>2148</v>
      </c>
      <c r="K230" t="s">
        <v>2156</v>
      </c>
      <c r="L230" s="3">
        <v>1</v>
      </c>
      <c r="M230" s="2">
        <v>1213.82</v>
      </c>
      <c r="N230" s="5">
        <v>0.1</v>
      </c>
      <c r="O230" s="2">
        <v>1092.44</v>
      </c>
      <c r="P230" s="2">
        <v>201.82</v>
      </c>
      <c r="Q230" t="s">
        <v>2168</v>
      </c>
    </row>
    <row r="231" spans="1:17">
      <c r="A231" t="s">
        <v>246</v>
      </c>
      <c r="B231" s="1">
        <v>45710</v>
      </c>
      <c r="C231" t="s">
        <v>1671</v>
      </c>
      <c r="D231" t="s">
        <v>1969</v>
      </c>
      <c r="E231" t="s">
        <v>2113</v>
      </c>
      <c r="F231" t="s">
        <v>2117</v>
      </c>
      <c r="G231" t="s">
        <v>2125</v>
      </c>
      <c r="H231" t="s">
        <v>2136</v>
      </c>
      <c r="I231" t="s">
        <v>2144</v>
      </c>
      <c r="J231" t="s">
        <v>2147</v>
      </c>
      <c r="K231" t="s">
        <v>2155</v>
      </c>
      <c r="L231" s="3">
        <v>1</v>
      </c>
      <c r="M231" s="2">
        <v>716.2</v>
      </c>
      <c r="N231" s="5">
        <v>0</v>
      </c>
      <c r="O231" s="2">
        <v>716.2</v>
      </c>
      <c r="P231" s="2">
        <v>144.31</v>
      </c>
      <c r="Q231" t="s">
        <v>2168</v>
      </c>
    </row>
    <row r="232" spans="1:17">
      <c r="A232" t="s">
        <v>247</v>
      </c>
      <c r="B232" s="1">
        <v>45711</v>
      </c>
      <c r="C232" t="s">
        <v>1625</v>
      </c>
      <c r="D232" t="s">
        <v>1923</v>
      </c>
      <c r="E232" t="s">
        <v>2113</v>
      </c>
      <c r="F232" t="s">
        <v>2117</v>
      </c>
      <c r="G232" t="s">
        <v>2123</v>
      </c>
      <c r="H232" t="s">
        <v>2134</v>
      </c>
      <c r="I232" t="s">
        <v>2143</v>
      </c>
      <c r="J232" t="s">
        <v>2146</v>
      </c>
      <c r="K232" t="s">
        <v>2164</v>
      </c>
      <c r="L232" s="3">
        <v>1</v>
      </c>
      <c r="M232" s="2">
        <v>18887.05</v>
      </c>
      <c r="N232" s="5">
        <v>0</v>
      </c>
      <c r="O232" s="2">
        <v>18887.05</v>
      </c>
      <c r="P232" s="2">
        <v>1847.26</v>
      </c>
      <c r="Q232" t="s">
        <v>2169</v>
      </c>
    </row>
    <row r="233" spans="1:17">
      <c r="A233" t="s">
        <v>248</v>
      </c>
      <c r="B233" s="1">
        <v>45711</v>
      </c>
      <c r="C233" t="s">
        <v>1518</v>
      </c>
      <c r="D233" t="s">
        <v>1816</v>
      </c>
      <c r="E233" t="s">
        <v>2113</v>
      </c>
      <c r="F233" t="s">
        <v>2118</v>
      </c>
      <c r="G233" t="s">
        <v>2122</v>
      </c>
      <c r="H233" t="s">
        <v>2133</v>
      </c>
      <c r="I233" t="s">
        <v>2143</v>
      </c>
      <c r="J233" t="s">
        <v>2146</v>
      </c>
      <c r="K233" t="s">
        <v>2164</v>
      </c>
      <c r="L233" s="3">
        <v>1</v>
      </c>
      <c r="M233" s="2">
        <v>18301.23</v>
      </c>
      <c r="N233" s="5">
        <v>0.2</v>
      </c>
      <c r="O233" s="2">
        <v>14640.98</v>
      </c>
      <c r="P233" s="2">
        <v>729.23</v>
      </c>
      <c r="Q233" t="s">
        <v>2169</v>
      </c>
    </row>
    <row r="234" spans="1:17">
      <c r="A234" t="s">
        <v>249</v>
      </c>
      <c r="B234" s="1">
        <v>45711</v>
      </c>
      <c r="C234" t="s">
        <v>1596</v>
      </c>
      <c r="D234" t="s">
        <v>1894</v>
      </c>
      <c r="E234" t="s">
        <v>2113</v>
      </c>
      <c r="F234" t="s">
        <v>2117</v>
      </c>
      <c r="G234" t="s">
        <v>2123</v>
      </c>
      <c r="H234" t="s">
        <v>2134</v>
      </c>
      <c r="I234" t="s">
        <v>2143</v>
      </c>
      <c r="J234" t="s">
        <v>2149</v>
      </c>
      <c r="K234" t="s">
        <v>2163</v>
      </c>
      <c r="L234" s="3">
        <v>1</v>
      </c>
      <c r="M234" s="2">
        <v>67112.160000000003</v>
      </c>
      <c r="N234" s="5">
        <v>0.15</v>
      </c>
      <c r="O234" s="2">
        <v>57045.34</v>
      </c>
      <c r="P234" s="2">
        <v>4908.95</v>
      </c>
      <c r="Q234" t="s">
        <v>2168</v>
      </c>
    </row>
    <row r="235" spans="1:17">
      <c r="A235" t="s">
        <v>250</v>
      </c>
      <c r="B235" s="1">
        <v>45711</v>
      </c>
      <c r="C235" t="s">
        <v>1600</v>
      </c>
      <c r="D235" t="s">
        <v>1898</v>
      </c>
      <c r="E235" t="s">
        <v>2114</v>
      </c>
      <c r="F235" t="s">
        <v>2116</v>
      </c>
      <c r="G235" t="s">
        <v>2127</v>
      </c>
      <c r="H235" t="s">
        <v>2140</v>
      </c>
      <c r="I235" t="s">
        <v>2144</v>
      </c>
      <c r="J235" t="s">
        <v>2152</v>
      </c>
      <c r="K235" t="s">
        <v>2166</v>
      </c>
      <c r="L235" s="3">
        <v>1</v>
      </c>
      <c r="M235" s="2">
        <v>588.08000000000004</v>
      </c>
      <c r="N235" s="5">
        <v>0.1</v>
      </c>
      <c r="O235" s="2">
        <v>529.27</v>
      </c>
      <c r="P235" s="2">
        <v>138.37</v>
      </c>
      <c r="Q235" t="s">
        <v>2169</v>
      </c>
    </row>
    <row r="236" spans="1:17">
      <c r="A236" t="s">
        <v>251</v>
      </c>
      <c r="B236" s="1">
        <v>45712</v>
      </c>
      <c r="C236" t="s">
        <v>1672</v>
      </c>
      <c r="D236" t="s">
        <v>1970</v>
      </c>
      <c r="E236" t="s">
        <v>2113</v>
      </c>
      <c r="F236" t="s">
        <v>2119</v>
      </c>
      <c r="G236" t="s">
        <v>2124</v>
      </c>
      <c r="H236" t="s">
        <v>2135</v>
      </c>
      <c r="I236" t="s">
        <v>2144</v>
      </c>
      <c r="J236" t="s">
        <v>2152</v>
      </c>
      <c r="K236" t="s">
        <v>2162</v>
      </c>
      <c r="L236" s="3">
        <v>1</v>
      </c>
      <c r="M236" s="2">
        <v>346.55</v>
      </c>
      <c r="N236" s="5">
        <v>0.15</v>
      </c>
      <c r="O236" s="2">
        <v>294.57</v>
      </c>
      <c r="P236" s="2">
        <v>55.32</v>
      </c>
      <c r="Q236" t="s">
        <v>2168</v>
      </c>
    </row>
    <row r="237" spans="1:17">
      <c r="A237" t="s">
        <v>252</v>
      </c>
      <c r="B237" s="1">
        <v>45712</v>
      </c>
      <c r="C237" t="s">
        <v>1673</v>
      </c>
      <c r="D237" t="s">
        <v>1971</v>
      </c>
      <c r="E237" t="s">
        <v>2115</v>
      </c>
      <c r="F237" t="s">
        <v>2118</v>
      </c>
      <c r="G237" t="s">
        <v>2126</v>
      </c>
      <c r="H237" t="s">
        <v>2137</v>
      </c>
      <c r="I237" t="s">
        <v>2143</v>
      </c>
      <c r="J237" t="s">
        <v>2146</v>
      </c>
      <c r="K237" t="s">
        <v>2154</v>
      </c>
      <c r="L237" s="3">
        <v>1</v>
      </c>
      <c r="M237" s="2">
        <v>39957.040000000001</v>
      </c>
      <c r="N237" s="5">
        <v>0.2</v>
      </c>
      <c r="O237" s="2">
        <v>31965.63</v>
      </c>
      <c r="P237" s="2">
        <v>1065.76</v>
      </c>
      <c r="Q237" t="s">
        <v>2169</v>
      </c>
    </row>
    <row r="238" spans="1:17">
      <c r="A238" t="s">
        <v>253</v>
      </c>
      <c r="B238" s="1">
        <v>45712</v>
      </c>
      <c r="C238" t="s">
        <v>1580</v>
      </c>
      <c r="D238" t="s">
        <v>1878</v>
      </c>
      <c r="E238" t="s">
        <v>2115</v>
      </c>
      <c r="F238" t="s">
        <v>2118</v>
      </c>
      <c r="G238" t="s">
        <v>2126</v>
      </c>
      <c r="H238" t="s">
        <v>2137</v>
      </c>
      <c r="I238" t="s">
        <v>2143</v>
      </c>
      <c r="J238" t="s">
        <v>2149</v>
      </c>
      <c r="K238" t="s">
        <v>2163</v>
      </c>
      <c r="L238" s="3">
        <v>1</v>
      </c>
      <c r="M238" s="2">
        <v>66127.86</v>
      </c>
      <c r="N238" s="5">
        <v>0.15</v>
      </c>
      <c r="O238" s="2">
        <v>56208.68</v>
      </c>
      <c r="P238" s="2">
        <v>3094.05</v>
      </c>
      <c r="Q238" t="s">
        <v>2167</v>
      </c>
    </row>
    <row r="239" spans="1:17">
      <c r="A239" t="s">
        <v>254</v>
      </c>
      <c r="B239" s="1">
        <v>45712</v>
      </c>
      <c r="C239" t="s">
        <v>1674</v>
      </c>
      <c r="D239" t="s">
        <v>1972</v>
      </c>
      <c r="E239" t="s">
        <v>2114</v>
      </c>
      <c r="F239" t="s">
        <v>2117</v>
      </c>
      <c r="G239" t="s">
        <v>2125</v>
      </c>
      <c r="H239" t="s">
        <v>2136</v>
      </c>
      <c r="I239" t="s">
        <v>2143</v>
      </c>
      <c r="J239" t="s">
        <v>2148</v>
      </c>
      <c r="K239" t="s">
        <v>2156</v>
      </c>
      <c r="L239" s="3">
        <v>2</v>
      </c>
      <c r="M239" s="2">
        <v>1235.1400000000001</v>
      </c>
      <c r="N239" s="5">
        <v>0.05</v>
      </c>
      <c r="O239" s="2">
        <v>2346.77</v>
      </c>
      <c r="P239" s="2">
        <v>347.16</v>
      </c>
      <c r="Q239" t="s">
        <v>2167</v>
      </c>
    </row>
    <row r="240" spans="1:17">
      <c r="A240" t="s">
        <v>255</v>
      </c>
      <c r="B240" s="1">
        <v>45712</v>
      </c>
      <c r="C240" t="s">
        <v>1675</v>
      </c>
      <c r="D240" t="s">
        <v>1973</v>
      </c>
      <c r="E240" t="s">
        <v>2114</v>
      </c>
      <c r="F240" t="s">
        <v>2117</v>
      </c>
      <c r="G240" t="s">
        <v>2121</v>
      </c>
      <c r="H240" t="s">
        <v>2132</v>
      </c>
      <c r="I240" t="s">
        <v>2143</v>
      </c>
      <c r="J240" t="s">
        <v>2148</v>
      </c>
      <c r="K240" t="s">
        <v>2161</v>
      </c>
      <c r="L240" s="3">
        <v>2</v>
      </c>
      <c r="M240" s="2">
        <v>1743.04</v>
      </c>
      <c r="N240" s="5">
        <v>0.15</v>
      </c>
      <c r="O240" s="2">
        <v>2963.17</v>
      </c>
      <c r="P240" s="2">
        <v>325.20999999999998</v>
      </c>
      <c r="Q240" t="s">
        <v>2168</v>
      </c>
    </row>
    <row r="241" spans="1:17">
      <c r="A241" t="s">
        <v>256</v>
      </c>
      <c r="B241" s="1">
        <v>45713</v>
      </c>
      <c r="C241" t="s">
        <v>1561</v>
      </c>
      <c r="D241" t="s">
        <v>1859</v>
      </c>
      <c r="E241" t="s">
        <v>2113</v>
      </c>
      <c r="F241" t="s">
        <v>2117</v>
      </c>
      <c r="G241" t="s">
        <v>2125</v>
      </c>
      <c r="H241" t="s">
        <v>2136</v>
      </c>
      <c r="I241" t="s">
        <v>2144</v>
      </c>
      <c r="J241" t="s">
        <v>2150</v>
      </c>
      <c r="K241" t="s">
        <v>2159</v>
      </c>
      <c r="L241" s="3">
        <v>3</v>
      </c>
      <c r="M241" s="2">
        <v>435.01</v>
      </c>
      <c r="N241" s="5">
        <v>0.05</v>
      </c>
      <c r="O241" s="2">
        <v>1239.78</v>
      </c>
      <c r="P241" s="2">
        <v>284.31</v>
      </c>
      <c r="Q241" t="s">
        <v>2167</v>
      </c>
    </row>
    <row r="242" spans="1:17">
      <c r="A242" t="s">
        <v>257</v>
      </c>
      <c r="B242" s="1">
        <v>45714</v>
      </c>
      <c r="C242" t="s">
        <v>1676</v>
      </c>
      <c r="D242" t="s">
        <v>1974</v>
      </c>
      <c r="E242" t="s">
        <v>2115</v>
      </c>
      <c r="F242" t="s">
        <v>2119</v>
      </c>
      <c r="G242" t="s">
        <v>2124</v>
      </c>
      <c r="H242" t="s">
        <v>2135</v>
      </c>
      <c r="I242" t="s">
        <v>2143</v>
      </c>
      <c r="J242" t="s">
        <v>2149</v>
      </c>
      <c r="K242" t="s">
        <v>2158</v>
      </c>
      <c r="L242" s="3">
        <v>1</v>
      </c>
      <c r="M242" s="2">
        <v>49652.71</v>
      </c>
      <c r="N242" s="5">
        <v>0.1</v>
      </c>
      <c r="O242" s="2">
        <v>44687.44</v>
      </c>
      <c r="P242" s="2">
        <v>8055.57</v>
      </c>
      <c r="Q242" t="s">
        <v>2170</v>
      </c>
    </row>
    <row r="243" spans="1:17">
      <c r="A243" t="s">
        <v>258</v>
      </c>
      <c r="B243" s="1">
        <v>45714</v>
      </c>
      <c r="C243" t="s">
        <v>1677</v>
      </c>
      <c r="D243" t="s">
        <v>1975</v>
      </c>
      <c r="E243" t="s">
        <v>2114</v>
      </c>
      <c r="F243" t="s">
        <v>2118</v>
      </c>
      <c r="G243" t="s">
        <v>2122</v>
      </c>
      <c r="H243" t="s">
        <v>2133</v>
      </c>
      <c r="I243" t="s">
        <v>2143</v>
      </c>
      <c r="J243" t="s">
        <v>2146</v>
      </c>
      <c r="K243" t="s">
        <v>2164</v>
      </c>
      <c r="L243" s="3">
        <v>4</v>
      </c>
      <c r="M243" s="2">
        <v>17589</v>
      </c>
      <c r="N243" s="5">
        <v>0</v>
      </c>
      <c r="O243" s="2">
        <v>70356</v>
      </c>
      <c r="P243" s="2">
        <v>6650.46</v>
      </c>
      <c r="Q243" t="s">
        <v>2168</v>
      </c>
    </row>
    <row r="244" spans="1:17">
      <c r="A244" t="s">
        <v>259</v>
      </c>
      <c r="B244" s="1">
        <v>45714</v>
      </c>
      <c r="C244" t="s">
        <v>1632</v>
      </c>
      <c r="D244" t="s">
        <v>1930</v>
      </c>
      <c r="E244" t="s">
        <v>2113</v>
      </c>
      <c r="F244" t="s">
        <v>2116</v>
      </c>
      <c r="G244" t="s">
        <v>2127</v>
      </c>
      <c r="H244" t="s">
        <v>2138</v>
      </c>
      <c r="I244" t="s">
        <v>2143</v>
      </c>
      <c r="J244" t="s">
        <v>2148</v>
      </c>
      <c r="K244" t="s">
        <v>2156</v>
      </c>
      <c r="L244" s="3">
        <v>4</v>
      </c>
      <c r="M244" s="2">
        <v>1252.72</v>
      </c>
      <c r="N244" s="5">
        <v>0.05</v>
      </c>
      <c r="O244" s="2">
        <v>4760.34</v>
      </c>
      <c r="P244" s="2">
        <v>599.41</v>
      </c>
      <c r="Q244" t="s">
        <v>2168</v>
      </c>
    </row>
    <row r="245" spans="1:17">
      <c r="A245" t="s">
        <v>260</v>
      </c>
      <c r="B245" s="1">
        <v>45714</v>
      </c>
      <c r="C245" t="s">
        <v>1673</v>
      </c>
      <c r="D245" t="s">
        <v>1971</v>
      </c>
      <c r="E245" t="s">
        <v>2114</v>
      </c>
      <c r="F245" t="s">
        <v>2117</v>
      </c>
      <c r="G245" t="s">
        <v>2121</v>
      </c>
      <c r="H245" t="s">
        <v>2132</v>
      </c>
      <c r="I245" t="s">
        <v>2143</v>
      </c>
      <c r="J245" t="s">
        <v>2149</v>
      </c>
      <c r="K245" t="s">
        <v>2158</v>
      </c>
      <c r="L245" s="3">
        <v>1</v>
      </c>
      <c r="M245" s="2">
        <v>45794.81</v>
      </c>
      <c r="N245" s="5">
        <v>0.15</v>
      </c>
      <c r="O245" s="2">
        <v>38925.589999999997</v>
      </c>
      <c r="P245" s="2">
        <v>6293.67</v>
      </c>
      <c r="Q245" t="s">
        <v>2169</v>
      </c>
    </row>
    <row r="246" spans="1:17">
      <c r="A246" t="s">
        <v>261</v>
      </c>
      <c r="B246" s="1">
        <v>45715</v>
      </c>
      <c r="C246" t="s">
        <v>1678</v>
      </c>
      <c r="D246" t="s">
        <v>1976</v>
      </c>
      <c r="E246" t="s">
        <v>2114</v>
      </c>
      <c r="F246" t="s">
        <v>2119</v>
      </c>
      <c r="G246" t="s">
        <v>2130</v>
      </c>
      <c r="H246" t="s">
        <v>2141</v>
      </c>
      <c r="I246" t="s">
        <v>2143</v>
      </c>
      <c r="J246" t="s">
        <v>2148</v>
      </c>
      <c r="K246" t="s">
        <v>2161</v>
      </c>
      <c r="L246" s="3">
        <v>2</v>
      </c>
      <c r="M246" s="2">
        <v>1827.1</v>
      </c>
      <c r="N246" s="5">
        <v>0.05</v>
      </c>
      <c r="O246" s="2">
        <v>3471.49</v>
      </c>
      <c r="P246" s="2">
        <v>391.63</v>
      </c>
      <c r="Q246" t="s">
        <v>2169</v>
      </c>
    </row>
    <row r="247" spans="1:17">
      <c r="A247" t="s">
        <v>262</v>
      </c>
      <c r="B247" s="1">
        <v>45715</v>
      </c>
      <c r="C247" t="s">
        <v>1666</v>
      </c>
      <c r="D247" t="s">
        <v>1964</v>
      </c>
      <c r="E247" t="s">
        <v>2114</v>
      </c>
      <c r="F247" t="s">
        <v>2117</v>
      </c>
      <c r="G247" t="s">
        <v>2123</v>
      </c>
      <c r="H247" t="s">
        <v>2134</v>
      </c>
      <c r="I247" t="s">
        <v>2143</v>
      </c>
      <c r="J247" t="s">
        <v>2146</v>
      </c>
      <c r="K247" t="s">
        <v>2154</v>
      </c>
      <c r="L247" s="3">
        <v>5</v>
      </c>
      <c r="M247" s="2">
        <v>42750.91</v>
      </c>
      <c r="N247" s="5">
        <v>0</v>
      </c>
      <c r="O247" s="2">
        <v>213754.55</v>
      </c>
      <c r="P247" s="2">
        <v>22369.75</v>
      </c>
      <c r="Q247" t="s">
        <v>2168</v>
      </c>
    </row>
    <row r="248" spans="1:17">
      <c r="A248" t="s">
        <v>263</v>
      </c>
      <c r="B248" s="1">
        <v>45716</v>
      </c>
      <c r="C248" t="s">
        <v>1522</v>
      </c>
      <c r="D248" t="s">
        <v>1820</v>
      </c>
      <c r="E248" t="s">
        <v>2114</v>
      </c>
      <c r="F248" t="s">
        <v>2116</v>
      </c>
      <c r="G248" t="s">
        <v>2127</v>
      </c>
      <c r="H248" t="s">
        <v>2140</v>
      </c>
      <c r="I248" t="s">
        <v>2144</v>
      </c>
      <c r="J248" t="s">
        <v>2147</v>
      </c>
      <c r="K248" t="s">
        <v>2155</v>
      </c>
      <c r="L248" s="3">
        <v>1</v>
      </c>
      <c r="M248" s="2">
        <v>760.38</v>
      </c>
      <c r="N248" s="5">
        <v>0.1</v>
      </c>
      <c r="O248" s="2">
        <v>684.34</v>
      </c>
      <c r="P248" s="2">
        <v>189.61</v>
      </c>
      <c r="Q248" t="s">
        <v>2169</v>
      </c>
    </row>
    <row r="249" spans="1:17">
      <c r="A249" t="s">
        <v>264</v>
      </c>
      <c r="B249" s="1">
        <v>45716</v>
      </c>
      <c r="C249" t="s">
        <v>1619</v>
      </c>
      <c r="D249" t="s">
        <v>1917</v>
      </c>
      <c r="E249" t="s">
        <v>2114</v>
      </c>
      <c r="F249" t="s">
        <v>2118</v>
      </c>
      <c r="G249" t="s">
        <v>2126</v>
      </c>
      <c r="H249" t="s">
        <v>2137</v>
      </c>
      <c r="I249" t="s">
        <v>2142</v>
      </c>
      <c r="J249" t="s">
        <v>2147</v>
      </c>
      <c r="K249" t="s">
        <v>2157</v>
      </c>
      <c r="L249" s="3">
        <v>1</v>
      </c>
      <c r="M249" s="2">
        <v>14703</v>
      </c>
      <c r="N249" s="5">
        <v>0</v>
      </c>
      <c r="O249" s="2">
        <v>14703</v>
      </c>
      <c r="P249" s="2">
        <v>2292.9699999999998</v>
      </c>
      <c r="Q249" t="s">
        <v>2167</v>
      </c>
    </row>
    <row r="250" spans="1:17">
      <c r="A250" t="s">
        <v>265</v>
      </c>
      <c r="B250" s="1">
        <v>45716</v>
      </c>
      <c r="C250" t="s">
        <v>1679</v>
      </c>
      <c r="D250" t="s">
        <v>1977</v>
      </c>
      <c r="E250" t="s">
        <v>2114</v>
      </c>
      <c r="F250" t="s">
        <v>2116</v>
      </c>
      <c r="G250" t="s">
        <v>2120</v>
      </c>
      <c r="H250" t="s">
        <v>2131</v>
      </c>
      <c r="I250" t="s">
        <v>2143</v>
      </c>
      <c r="J250" t="s">
        <v>2149</v>
      </c>
      <c r="K250" t="s">
        <v>2163</v>
      </c>
      <c r="L250" s="3">
        <v>3</v>
      </c>
      <c r="M250" s="2">
        <v>63610.46</v>
      </c>
      <c r="N250" s="5">
        <v>0.1</v>
      </c>
      <c r="O250" s="2">
        <v>171748.24</v>
      </c>
      <c r="P250" s="2">
        <v>22254.83</v>
      </c>
      <c r="Q250" t="s">
        <v>2170</v>
      </c>
    </row>
    <row r="251" spans="1:17">
      <c r="A251" t="s">
        <v>266</v>
      </c>
      <c r="B251" s="1">
        <v>45716</v>
      </c>
      <c r="C251" t="s">
        <v>1680</v>
      </c>
      <c r="D251" t="s">
        <v>1978</v>
      </c>
      <c r="E251" t="s">
        <v>2114</v>
      </c>
      <c r="F251" t="s">
        <v>2118</v>
      </c>
      <c r="G251" t="s">
        <v>2126</v>
      </c>
      <c r="H251" t="s">
        <v>2137</v>
      </c>
      <c r="I251" t="s">
        <v>2142</v>
      </c>
      <c r="J251" t="s">
        <v>2145</v>
      </c>
      <c r="K251" t="s">
        <v>2153</v>
      </c>
      <c r="L251" s="3">
        <v>5</v>
      </c>
      <c r="M251" s="2">
        <v>12133.98</v>
      </c>
      <c r="N251" s="5">
        <v>0.1</v>
      </c>
      <c r="O251" s="2">
        <v>54602.91</v>
      </c>
      <c r="P251" s="2">
        <v>6036.57</v>
      </c>
      <c r="Q251" t="s">
        <v>2168</v>
      </c>
    </row>
    <row r="252" spans="1:17">
      <c r="A252" t="s">
        <v>267</v>
      </c>
      <c r="B252" s="1">
        <v>45716</v>
      </c>
      <c r="C252" t="s">
        <v>1681</v>
      </c>
      <c r="D252" t="s">
        <v>1979</v>
      </c>
      <c r="E252" t="s">
        <v>2115</v>
      </c>
      <c r="F252" t="s">
        <v>2119</v>
      </c>
      <c r="G252" t="s">
        <v>2130</v>
      </c>
      <c r="H252" t="s">
        <v>2141</v>
      </c>
      <c r="I252" t="s">
        <v>2143</v>
      </c>
      <c r="J252" t="s">
        <v>2146</v>
      </c>
      <c r="K252" t="s">
        <v>2154</v>
      </c>
      <c r="L252" s="3">
        <v>4</v>
      </c>
      <c r="M252" s="2">
        <v>41565.46</v>
      </c>
      <c r="N252" s="5">
        <v>0.2</v>
      </c>
      <c r="O252" s="2">
        <v>133009.47</v>
      </c>
      <c r="P252" s="2">
        <v>22025.19</v>
      </c>
      <c r="Q252" t="s">
        <v>2168</v>
      </c>
    </row>
    <row r="253" spans="1:17">
      <c r="A253" t="s">
        <v>268</v>
      </c>
      <c r="B253" s="1">
        <v>45716</v>
      </c>
      <c r="C253" t="s">
        <v>1517</v>
      </c>
      <c r="D253" t="s">
        <v>1815</v>
      </c>
      <c r="E253" t="s">
        <v>2115</v>
      </c>
      <c r="F253" t="s">
        <v>2116</v>
      </c>
      <c r="G253" t="s">
        <v>2120</v>
      </c>
      <c r="H253" t="s">
        <v>2131</v>
      </c>
      <c r="I253" t="s">
        <v>2142</v>
      </c>
      <c r="J253" t="s">
        <v>2145</v>
      </c>
      <c r="K253" t="s">
        <v>2165</v>
      </c>
      <c r="L253" s="3">
        <v>3</v>
      </c>
      <c r="M253" s="2">
        <v>6434.06</v>
      </c>
      <c r="N253" s="5">
        <v>0</v>
      </c>
      <c r="O253" s="2">
        <v>19302.18</v>
      </c>
      <c r="P253" s="2">
        <v>2841.75</v>
      </c>
      <c r="Q253" t="s">
        <v>2169</v>
      </c>
    </row>
    <row r="254" spans="1:17">
      <c r="A254" t="s">
        <v>269</v>
      </c>
      <c r="B254" s="1">
        <v>45717</v>
      </c>
      <c r="C254" t="s">
        <v>1569</v>
      </c>
      <c r="D254" t="s">
        <v>1867</v>
      </c>
      <c r="E254" t="s">
        <v>2114</v>
      </c>
      <c r="F254" t="s">
        <v>2119</v>
      </c>
      <c r="G254" t="s">
        <v>2129</v>
      </c>
      <c r="H254" t="s">
        <v>2139</v>
      </c>
      <c r="I254" t="s">
        <v>2144</v>
      </c>
      <c r="J254" t="s">
        <v>2150</v>
      </c>
      <c r="K254" t="s">
        <v>2159</v>
      </c>
      <c r="L254" s="3">
        <v>3</v>
      </c>
      <c r="M254" s="2">
        <v>447.93</v>
      </c>
      <c r="N254" s="5">
        <v>0</v>
      </c>
      <c r="O254" s="2">
        <v>1343.79</v>
      </c>
      <c r="P254" s="2">
        <v>334</v>
      </c>
      <c r="Q254" t="s">
        <v>2170</v>
      </c>
    </row>
    <row r="255" spans="1:17">
      <c r="A255" t="s">
        <v>270</v>
      </c>
      <c r="B255" s="1">
        <v>45717</v>
      </c>
      <c r="C255" t="s">
        <v>1518</v>
      </c>
      <c r="D255" t="s">
        <v>1816</v>
      </c>
      <c r="E255" t="s">
        <v>2114</v>
      </c>
      <c r="F255" t="s">
        <v>2117</v>
      </c>
      <c r="G255" t="s">
        <v>2121</v>
      </c>
      <c r="H255" t="s">
        <v>2132</v>
      </c>
      <c r="I255" t="s">
        <v>2143</v>
      </c>
      <c r="J255" t="s">
        <v>2149</v>
      </c>
      <c r="K255" t="s">
        <v>2158</v>
      </c>
      <c r="L255" s="3">
        <v>2</v>
      </c>
      <c r="M255" s="2">
        <v>46633.06</v>
      </c>
      <c r="N255" s="5">
        <v>0.15</v>
      </c>
      <c r="O255" s="2">
        <v>79276.2</v>
      </c>
      <c r="P255" s="2">
        <v>4303.6400000000003</v>
      </c>
      <c r="Q255" t="s">
        <v>2167</v>
      </c>
    </row>
    <row r="256" spans="1:17">
      <c r="A256" t="s">
        <v>271</v>
      </c>
      <c r="B256" s="1">
        <v>45717</v>
      </c>
      <c r="C256" t="s">
        <v>1682</v>
      </c>
      <c r="D256" t="s">
        <v>1980</v>
      </c>
      <c r="E256" t="s">
        <v>2114</v>
      </c>
      <c r="F256" t="s">
        <v>2118</v>
      </c>
      <c r="G256" t="s">
        <v>2122</v>
      </c>
      <c r="H256" t="s">
        <v>2133</v>
      </c>
      <c r="I256" t="s">
        <v>2143</v>
      </c>
      <c r="J256" t="s">
        <v>2149</v>
      </c>
      <c r="K256" t="s">
        <v>2158</v>
      </c>
      <c r="L256" s="3">
        <v>1</v>
      </c>
      <c r="M256" s="2">
        <v>48679.58</v>
      </c>
      <c r="N256" s="5">
        <v>0.2</v>
      </c>
      <c r="O256" s="2">
        <v>38943.660000000003</v>
      </c>
      <c r="P256" s="2">
        <v>1626.75</v>
      </c>
      <c r="Q256" t="s">
        <v>2167</v>
      </c>
    </row>
    <row r="257" spans="1:17">
      <c r="A257" t="s">
        <v>272</v>
      </c>
      <c r="B257" s="1">
        <v>45717</v>
      </c>
      <c r="C257" t="s">
        <v>1624</v>
      </c>
      <c r="D257" t="s">
        <v>1922</v>
      </c>
      <c r="E257" t="s">
        <v>2114</v>
      </c>
      <c r="F257" t="s">
        <v>2116</v>
      </c>
      <c r="G257" t="s">
        <v>2127</v>
      </c>
      <c r="H257" t="s">
        <v>2138</v>
      </c>
      <c r="I257" t="s">
        <v>2142</v>
      </c>
      <c r="J257" t="s">
        <v>2147</v>
      </c>
      <c r="K257" t="s">
        <v>2157</v>
      </c>
      <c r="L257" s="3">
        <v>2</v>
      </c>
      <c r="M257" s="2">
        <v>15078.1</v>
      </c>
      <c r="N257" s="5">
        <v>0.1</v>
      </c>
      <c r="O257" s="2">
        <v>27140.58</v>
      </c>
      <c r="P257" s="2">
        <v>6806.77</v>
      </c>
      <c r="Q257" t="s">
        <v>2167</v>
      </c>
    </row>
    <row r="258" spans="1:17">
      <c r="A258" t="s">
        <v>273</v>
      </c>
      <c r="B258" s="1">
        <v>45718</v>
      </c>
      <c r="C258" t="s">
        <v>1519</v>
      </c>
      <c r="D258" t="s">
        <v>1817</v>
      </c>
      <c r="E258" t="s">
        <v>2114</v>
      </c>
      <c r="F258" t="s">
        <v>2118</v>
      </c>
      <c r="G258" t="s">
        <v>2126</v>
      </c>
      <c r="H258" t="s">
        <v>2137</v>
      </c>
      <c r="I258" t="s">
        <v>2144</v>
      </c>
      <c r="J258" t="s">
        <v>2147</v>
      </c>
      <c r="K258" t="s">
        <v>2155</v>
      </c>
      <c r="L258" s="3">
        <v>1</v>
      </c>
      <c r="M258" s="2">
        <v>763.79</v>
      </c>
      <c r="N258" s="5">
        <v>0.1</v>
      </c>
      <c r="O258" s="2">
        <v>687.41</v>
      </c>
      <c r="P258" s="2">
        <v>151.86000000000001</v>
      </c>
      <c r="Q258" t="s">
        <v>2168</v>
      </c>
    </row>
    <row r="259" spans="1:17">
      <c r="A259" t="s">
        <v>274</v>
      </c>
      <c r="B259" s="1">
        <v>45718</v>
      </c>
      <c r="C259" t="s">
        <v>1528</v>
      </c>
      <c r="D259" t="s">
        <v>1826</v>
      </c>
      <c r="E259" t="s">
        <v>2114</v>
      </c>
      <c r="F259" t="s">
        <v>2119</v>
      </c>
      <c r="G259" t="s">
        <v>2130</v>
      </c>
      <c r="H259" t="s">
        <v>2141</v>
      </c>
      <c r="I259" t="s">
        <v>2142</v>
      </c>
      <c r="J259" t="s">
        <v>2145</v>
      </c>
      <c r="K259" t="s">
        <v>2153</v>
      </c>
      <c r="L259" s="3">
        <v>3</v>
      </c>
      <c r="M259" s="2">
        <v>11820.84</v>
      </c>
      <c r="N259" s="5">
        <v>0.05</v>
      </c>
      <c r="O259" s="2">
        <v>33689.39</v>
      </c>
      <c r="P259" s="2">
        <v>4796.1000000000004</v>
      </c>
      <c r="Q259" t="s">
        <v>2169</v>
      </c>
    </row>
    <row r="260" spans="1:17">
      <c r="A260" t="s">
        <v>275</v>
      </c>
      <c r="B260" s="1">
        <v>45718</v>
      </c>
      <c r="C260" t="s">
        <v>1683</v>
      </c>
      <c r="D260" t="s">
        <v>1981</v>
      </c>
      <c r="E260" t="s">
        <v>2114</v>
      </c>
      <c r="F260" t="s">
        <v>2118</v>
      </c>
      <c r="G260" t="s">
        <v>2122</v>
      </c>
      <c r="H260" t="s">
        <v>2133</v>
      </c>
      <c r="I260" t="s">
        <v>2144</v>
      </c>
      <c r="J260" t="s">
        <v>2152</v>
      </c>
      <c r="K260" t="s">
        <v>2162</v>
      </c>
      <c r="L260" s="3">
        <v>2</v>
      </c>
      <c r="M260" s="2">
        <v>343.82</v>
      </c>
      <c r="N260" s="5">
        <v>0.05</v>
      </c>
      <c r="O260" s="2">
        <v>653.26</v>
      </c>
      <c r="P260" s="2">
        <v>140.13</v>
      </c>
      <c r="Q260" t="s">
        <v>2169</v>
      </c>
    </row>
    <row r="261" spans="1:17">
      <c r="A261" t="s">
        <v>276</v>
      </c>
      <c r="B261" s="1">
        <v>45718</v>
      </c>
      <c r="C261" t="s">
        <v>1684</v>
      </c>
      <c r="D261" t="s">
        <v>1982</v>
      </c>
      <c r="E261" t="s">
        <v>2114</v>
      </c>
      <c r="F261" t="s">
        <v>2117</v>
      </c>
      <c r="G261" t="s">
        <v>2123</v>
      </c>
      <c r="H261" t="s">
        <v>2134</v>
      </c>
      <c r="I261" t="s">
        <v>2144</v>
      </c>
      <c r="J261" t="s">
        <v>2152</v>
      </c>
      <c r="K261" t="s">
        <v>2166</v>
      </c>
      <c r="L261" s="3">
        <v>2</v>
      </c>
      <c r="M261" s="2">
        <v>616.23</v>
      </c>
      <c r="N261" s="5">
        <v>0.2</v>
      </c>
      <c r="O261" s="2">
        <v>985.97</v>
      </c>
      <c r="P261" s="2">
        <v>101.02</v>
      </c>
      <c r="Q261" t="s">
        <v>2168</v>
      </c>
    </row>
    <row r="262" spans="1:17">
      <c r="A262" t="s">
        <v>277</v>
      </c>
      <c r="B262" s="1">
        <v>45719</v>
      </c>
      <c r="C262" t="s">
        <v>1674</v>
      </c>
      <c r="D262" t="s">
        <v>1972</v>
      </c>
      <c r="E262" t="s">
        <v>2113</v>
      </c>
      <c r="F262" t="s">
        <v>2116</v>
      </c>
      <c r="G262" t="s">
        <v>2127</v>
      </c>
      <c r="H262" t="s">
        <v>2138</v>
      </c>
      <c r="I262" t="s">
        <v>2144</v>
      </c>
      <c r="J262" t="s">
        <v>2152</v>
      </c>
      <c r="K262" t="s">
        <v>2162</v>
      </c>
      <c r="L262" s="3">
        <v>1</v>
      </c>
      <c r="M262" s="2">
        <v>338.25</v>
      </c>
      <c r="N262" s="5">
        <v>0</v>
      </c>
      <c r="O262" s="2">
        <v>338.25</v>
      </c>
      <c r="P262" s="2">
        <v>105.84</v>
      </c>
      <c r="Q262" t="s">
        <v>2170</v>
      </c>
    </row>
    <row r="263" spans="1:17">
      <c r="A263" t="s">
        <v>278</v>
      </c>
      <c r="B263" s="1">
        <v>45719</v>
      </c>
      <c r="C263" t="s">
        <v>1685</v>
      </c>
      <c r="D263" t="s">
        <v>1983</v>
      </c>
      <c r="E263" t="s">
        <v>2115</v>
      </c>
      <c r="F263" t="s">
        <v>2119</v>
      </c>
      <c r="G263" t="s">
        <v>2129</v>
      </c>
      <c r="H263" t="s">
        <v>2139</v>
      </c>
      <c r="I263" t="s">
        <v>2143</v>
      </c>
      <c r="J263" t="s">
        <v>2149</v>
      </c>
      <c r="K263" t="s">
        <v>2158</v>
      </c>
      <c r="L263" s="3">
        <v>2</v>
      </c>
      <c r="M263" s="2">
        <v>49319.28</v>
      </c>
      <c r="N263" s="5">
        <v>0.05</v>
      </c>
      <c r="O263" s="2">
        <v>93706.63</v>
      </c>
      <c r="P263" s="2">
        <v>16103.32</v>
      </c>
      <c r="Q263" t="s">
        <v>2168</v>
      </c>
    </row>
    <row r="264" spans="1:17">
      <c r="A264" t="s">
        <v>279</v>
      </c>
      <c r="B264" s="1">
        <v>45719</v>
      </c>
      <c r="C264" t="s">
        <v>1686</v>
      </c>
      <c r="D264" t="s">
        <v>1984</v>
      </c>
      <c r="E264" t="s">
        <v>2115</v>
      </c>
      <c r="F264" t="s">
        <v>2117</v>
      </c>
      <c r="G264" t="s">
        <v>2125</v>
      </c>
      <c r="H264" t="s">
        <v>2136</v>
      </c>
      <c r="I264" t="s">
        <v>2142</v>
      </c>
      <c r="J264" t="s">
        <v>2147</v>
      </c>
      <c r="K264" t="s">
        <v>2157</v>
      </c>
      <c r="L264" s="3">
        <v>2</v>
      </c>
      <c r="M264" s="2">
        <v>14869.09</v>
      </c>
      <c r="N264" s="5">
        <v>0.15</v>
      </c>
      <c r="O264" s="2">
        <v>25277.45</v>
      </c>
      <c r="P264" s="2">
        <v>2215.67</v>
      </c>
      <c r="Q264" t="s">
        <v>2170</v>
      </c>
    </row>
    <row r="265" spans="1:17">
      <c r="A265" t="s">
        <v>280</v>
      </c>
      <c r="B265" s="1">
        <v>45719</v>
      </c>
      <c r="C265" t="s">
        <v>1663</v>
      </c>
      <c r="D265" t="s">
        <v>1961</v>
      </c>
      <c r="E265" t="s">
        <v>2114</v>
      </c>
      <c r="F265" t="s">
        <v>2119</v>
      </c>
      <c r="G265" t="s">
        <v>2130</v>
      </c>
      <c r="H265" t="s">
        <v>2141</v>
      </c>
      <c r="I265" t="s">
        <v>2143</v>
      </c>
      <c r="J265" t="s">
        <v>2148</v>
      </c>
      <c r="K265" t="s">
        <v>2161</v>
      </c>
      <c r="L265" s="3">
        <v>5</v>
      </c>
      <c r="M265" s="2">
        <v>1711.82</v>
      </c>
      <c r="N265" s="5">
        <v>0</v>
      </c>
      <c r="O265" s="2">
        <v>8559.1</v>
      </c>
      <c r="P265" s="2">
        <v>863.04</v>
      </c>
      <c r="Q265" t="s">
        <v>2170</v>
      </c>
    </row>
    <row r="266" spans="1:17">
      <c r="A266" t="s">
        <v>281</v>
      </c>
      <c r="B266" s="1">
        <v>45719</v>
      </c>
      <c r="C266" t="s">
        <v>1609</v>
      </c>
      <c r="D266" t="s">
        <v>1907</v>
      </c>
      <c r="E266" t="s">
        <v>2114</v>
      </c>
      <c r="F266" t="s">
        <v>2117</v>
      </c>
      <c r="G266" t="s">
        <v>2125</v>
      </c>
      <c r="H266" t="s">
        <v>2136</v>
      </c>
      <c r="I266" t="s">
        <v>2144</v>
      </c>
      <c r="J266" t="s">
        <v>2150</v>
      </c>
      <c r="K266" t="s">
        <v>2159</v>
      </c>
      <c r="L266" s="3">
        <v>1</v>
      </c>
      <c r="M266" s="2">
        <v>469.05</v>
      </c>
      <c r="N266" s="5">
        <v>0.2</v>
      </c>
      <c r="O266" s="2">
        <v>375.24</v>
      </c>
      <c r="P266" s="2">
        <v>67.23</v>
      </c>
      <c r="Q266" t="s">
        <v>2168</v>
      </c>
    </row>
    <row r="267" spans="1:17">
      <c r="A267" t="s">
        <v>282</v>
      </c>
      <c r="B267" s="1">
        <v>45719</v>
      </c>
      <c r="C267" t="s">
        <v>1687</v>
      </c>
      <c r="D267" t="s">
        <v>1985</v>
      </c>
      <c r="E267" t="s">
        <v>2115</v>
      </c>
      <c r="F267" t="s">
        <v>2117</v>
      </c>
      <c r="G267" t="s">
        <v>2125</v>
      </c>
      <c r="H267" t="s">
        <v>2136</v>
      </c>
      <c r="I267" t="s">
        <v>2144</v>
      </c>
      <c r="J267" t="s">
        <v>2150</v>
      </c>
      <c r="K267" t="s">
        <v>2159</v>
      </c>
      <c r="L267" s="3">
        <v>4</v>
      </c>
      <c r="M267" s="2">
        <v>439.44</v>
      </c>
      <c r="N267" s="5">
        <v>0.15</v>
      </c>
      <c r="O267" s="2">
        <v>1494.1</v>
      </c>
      <c r="P267" s="2">
        <v>453.86</v>
      </c>
      <c r="Q267" t="s">
        <v>2167</v>
      </c>
    </row>
    <row r="268" spans="1:17">
      <c r="A268" t="s">
        <v>283</v>
      </c>
      <c r="B268" s="1">
        <v>45719</v>
      </c>
      <c r="C268" t="s">
        <v>1688</v>
      </c>
      <c r="D268" t="s">
        <v>1986</v>
      </c>
      <c r="E268" t="s">
        <v>2115</v>
      </c>
      <c r="F268" t="s">
        <v>2116</v>
      </c>
      <c r="G268" t="s">
        <v>2127</v>
      </c>
      <c r="H268" t="s">
        <v>2140</v>
      </c>
      <c r="I268" t="s">
        <v>2144</v>
      </c>
      <c r="J268" t="s">
        <v>2152</v>
      </c>
      <c r="K268" t="s">
        <v>2166</v>
      </c>
      <c r="L268" s="3">
        <v>3</v>
      </c>
      <c r="M268" s="2">
        <v>621</v>
      </c>
      <c r="N268" s="5">
        <v>0.15</v>
      </c>
      <c r="O268" s="2">
        <v>1583.55</v>
      </c>
      <c r="P268" s="2">
        <v>350.46</v>
      </c>
      <c r="Q268" t="s">
        <v>2170</v>
      </c>
    </row>
    <row r="269" spans="1:17">
      <c r="A269" t="s">
        <v>284</v>
      </c>
      <c r="B269" s="1">
        <v>45720</v>
      </c>
      <c r="C269" t="s">
        <v>1661</v>
      </c>
      <c r="D269" t="s">
        <v>1959</v>
      </c>
      <c r="E269" t="s">
        <v>2113</v>
      </c>
      <c r="F269" t="s">
        <v>2118</v>
      </c>
      <c r="G269" t="s">
        <v>2126</v>
      </c>
      <c r="H269" t="s">
        <v>2137</v>
      </c>
      <c r="I269" t="s">
        <v>2142</v>
      </c>
      <c r="J269" t="s">
        <v>2145</v>
      </c>
      <c r="K269" t="s">
        <v>2165</v>
      </c>
      <c r="L269" s="3">
        <v>4</v>
      </c>
      <c r="M269" s="2">
        <v>6569.44</v>
      </c>
      <c r="N269" s="5">
        <v>0.15</v>
      </c>
      <c r="O269" s="2">
        <v>22336.1</v>
      </c>
      <c r="P269" s="2">
        <v>5408.43</v>
      </c>
      <c r="Q269" t="s">
        <v>2170</v>
      </c>
    </row>
    <row r="270" spans="1:17">
      <c r="A270" t="s">
        <v>285</v>
      </c>
      <c r="B270" s="1">
        <v>45720</v>
      </c>
      <c r="C270" t="s">
        <v>1590</v>
      </c>
      <c r="D270" t="s">
        <v>1888</v>
      </c>
      <c r="E270" t="s">
        <v>2114</v>
      </c>
      <c r="F270" t="s">
        <v>2116</v>
      </c>
      <c r="G270" t="s">
        <v>2120</v>
      </c>
      <c r="H270" t="s">
        <v>2131</v>
      </c>
      <c r="I270" t="s">
        <v>2144</v>
      </c>
      <c r="J270" t="s">
        <v>2152</v>
      </c>
      <c r="K270" t="s">
        <v>2162</v>
      </c>
      <c r="L270" s="3">
        <v>1</v>
      </c>
      <c r="M270" s="2">
        <v>347.16</v>
      </c>
      <c r="N270" s="5">
        <v>0.05</v>
      </c>
      <c r="O270" s="2">
        <v>329.8</v>
      </c>
      <c r="P270" s="2">
        <v>106.67</v>
      </c>
      <c r="Q270" t="s">
        <v>2168</v>
      </c>
    </row>
    <row r="271" spans="1:17">
      <c r="A271" t="s">
        <v>286</v>
      </c>
      <c r="B271" s="1">
        <v>45720</v>
      </c>
      <c r="C271" t="s">
        <v>1689</v>
      </c>
      <c r="D271" t="s">
        <v>1987</v>
      </c>
      <c r="E271" t="s">
        <v>2114</v>
      </c>
      <c r="F271" t="s">
        <v>2119</v>
      </c>
      <c r="G271" t="s">
        <v>2130</v>
      </c>
      <c r="H271" t="s">
        <v>2141</v>
      </c>
      <c r="I271" t="s">
        <v>2144</v>
      </c>
      <c r="J271" t="s">
        <v>2147</v>
      </c>
      <c r="K271" t="s">
        <v>2155</v>
      </c>
      <c r="L271" s="3">
        <v>2</v>
      </c>
      <c r="M271" s="2">
        <v>786.55</v>
      </c>
      <c r="N271" s="5">
        <v>0.15</v>
      </c>
      <c r="O271" s="2">
        <v>1337.13</v>
      </c>
      <c r="P271" s="2">
        <v>190.95</v>
      </c>
      <c r="Q271" t="s">
        <v>2167</v>
      </c>
    </row>
    <row r="272" spans="1:17">
      <c r="A272" t="s">
        <v>287</v>
      </c>
      <c r="B272" s="1">
        <v>45721</v>
      </c>
      <c r="C272" t="s">
        <v>1655</v>
      </c>
      <c r="D272" t="s">
        <v>1953</v>
      </c>
      <c r="E272" t="s">
        <v>2114</v>
      </c>
      <c r="F272" t="s">
        <v>2117</v>
      </c>
      <c r="G272" t="s">
        <v>2123</v>
      </c>
      <c r="H272" t="s">
        <v>2134</v>
      </c>
      <c r="I272" t="s">
        <v>2144</v>
      </c>
      <c r="J272" t="s">
        <v>2150</v>
      </c>
      <c r="K272" t="s">
        <v>2159</v>
      </c>
      <c r="L272" s="3">
        <v>3</v>
      </c>
      <c r="M272" s="2">
        <v>458.94</v>
      </c>
      <c r="N272" s="5">
        <v>0.15</v>
      </c>
      <c r="O272" s="2">
        <v>1170.3</v>
      </c>
      <c r="P272" s="2">
        <v>297.79000000000002</v>
      </c>
      <c r="Q272" t="s">
        <v>2168</v>
      </c>
    </row>
    <row r="273" spans="1:17">
      <c r="A273" t="s">
        <v>288</v>
      </c>
      <c r="B273" s="1">
        <v>45721</v>
      </c>
      <c r="C273" t="s">
        <v>1690</v>
      </c>
      <c r="D273" t="s">
        <v>1988</v>
      </c>
      <c r="E273" t="s">
        <v>2113</v>
      </c>
      <c r="F273" t="s">
        <v>2116</v>
      </c>
      <c r="G273" t="s">
        <v>2127</v>
      </c>
      <c r="H273" t="s">
        <v>2140</v>
      </c>
      <c r="I273" t="s">
        <v>2143</v>
      </c>
      <c r="J273" t="s">
        <v>2148</v>
      </c>
      <c r="K273" t="s">
        <v>2161</v>
      </c>
      <c r="L273" s="3">
        <v>1</v>
      </c>
      <c r="M273" s="2">
        <v>1865.3</v>
      </c>
      <c r="N273" s="5">
        <v>0.15</v>
      </c>
      <c r="O273" s="2">
        <v>1585.5</v>
      </c>
      <c r="P273" s="2">
        <v>190.3</v>
      </c>
      <c r="Q273" t="s">
        <v>2167</v>
      </c>
    </row>
    <row r="274" spans="1:17">
      <c r="A274" t="s">
        <v>289</v>
      </c>
      <c r="B274" s="1">
        <v>45722</v>
      </c>
      <c r="C274" t="s">
        <v>1691</v>
      </c>
      <c r="D274" t="s">
        <v>1989</v>
      </c>
      <c r="E274" t="s">
        <v>2114</v>
      </c>
      <c r="F274" t="s">
        <v>2116</v>
      </c>
      <c r="G274" t="s">
        <v>2127</v>
      </c>
      <c r="H274" t="s">
        <v>2138</v>
      </c>
      <c r="I274" t="s">
        <v>2143</v>
      </c>
      <c r="J274" t="s">
        <v>2148</v>
      </c>
      <c r="K274" t="s">
        <v>2156</v>
      </c>
      <c r="L274" s="3">
        <v>2</v>
      </c>
      <c r="M274" s="2">
        <v>1171.18</v>
      </c>
      <c r="N274" s="5">
        <v>0</v>
      </c>
      <c r="O274" s="2">
        <v>2342.36</v>
      </c>
      <c r="P274" s="2">
        <v>436.71</v>
      </c>
      <c r="Q274" t="s">
        <v>2167</v>
      </c>
    </row>
    <row r="275" spans="1:17">
      <c r="A275" t="s">
        <v>290</v>
      </c>
      <c r="B275" s="1">
        <v>45722</v>
      </c>
      <c r="C275" t="s">
        <v>1692</v>
      </c>
      <c r="D275" t="s">
        <v>1990</v>
      </c>
      <c r="E275" t="s">
        <v>2113</v>
      </c>
      <c r="F275" t="s">
        <v>2119</v>
      </c>
      <c r="G275" t="s">
        <v>2130</v>
      </c>
      <c r="H275" t="s">
        <v>2141</v>
      </c>
      <c r="I275" t="s">
        <v>2143</v>
      </c>
      <c r="J275" t="s">
        <v>2148</v>
      </c>
      <c r="K275" t="s">
        <v>2161</v>
      </c>
      <c r="L275" s="3">
        <v>3</v>
      </c>
      <c r="M275" s="2">
        <v>1876.95</v>
      </c>
      <c r="N275" s="5">
        <v>0</v>
      </c>
      <c r="O275" s="2">
        <v>5630.85</v>
      </c>
      <c r="P275" s="2">
        <v>502.73</v>
      </c>
      <c r="Q275" t="s">
        <v>2168</v>
      </c>
    </row>
    <row r="276" spans="1:17">
      <c r="A276" t="s">
        <v>291</v>
      </c>
      <c r="B276" s="1">
        <v>45722</v>
      </c>
      <c r="C276" t="s">
        <v>1550</v>
      </c>
      <c r="D276" t="s">
        <v>1848</v>
      </c>
      <c r="E276" t="s">
        <v>2115</v>
      </c>
      <c r="F276" t="s">
        <v>2117</v>
      </c>
      <c r="G276" t="s">
        <v>2125</v>
      </c>
      <c r="H276" t="s">
        <v>2136</v>
      </c>
      <c r="I276" t="s">
        <v>2142</v>
      </c>
      <c r="J276" t="s">
        <v>2147</v>
      </c>
      <c r="K276" t="s">
        <v>2157</v>
      </c>
      <c r="L276" s="3">
        <v>1</v>
      </c>
      <c r="M276" s="2">
        <v>13962.18</v>
      </c>
      <c r="N276" s="5">
        <v>0.15</v>
      </c>
      <c r="O276" s="2">
        <v>11867.85</v>
      </c>
      <c r="P276" s="2">
        <v>2127.5</v>
      </c>
      <c r="Q276" t="s">
        <v>2167</v>
      </c>
    </row>
    <row r="277" spans="1:17">
      <c r="A277" t="s">
        <v>292</v>
      </c>
      <c r="B277" s="1">
        <v>45722</v>
      </c>
      <c r="C277" t="s">
        <v>1657</v>
      </c>
      <c r="D277" t="s">
        <v>1955</v>
      </c>
      <c r="E277" t="s">
        <v>2113</v>
      </c>
      <c r="F277" t="s">
        <v>2118</v>
      </c>
      <c r="G277" t="s">
        <v>2128</v>
      </c>
      <c r="H277" t="s">
        <v>2128</v>
      </c>
      <c r="I277" t="s">
        <v>2144</v>
      </c>
      <c r="J277" t="s">
        <v>2152</v>
      </c>
      <c r="K277" t="s">
        <v>2162</v>
      </c>
      <c r="L277" s="3">
        <v>1</v>
      </c>
      <c r="M277" s="2">
        <v>361.74</v>
      </c>
      <c r="N277" s="5">
        <v>0.1</v>
      </c>
      <c r="O277" s="2">
        <v>325.57</v>
      </c>
      <c r="P277" s="2">
        <v>67.92</v>
      </c>
      <c r="Q277" t="s">
        <v>2169</v>
      </c>
    </row>
    <row r="278" spans="1:17">
      <c r="A278" t="s">
        <v>293</v>
      </c>
      <c r="B278" s="1">
        <v>45723</v>
      </c>
      <c r="C278" t="s">
        <v>1657</v>
      </c>
      <c r="D278" t="s">
        <v>1955</v>
      </c>
      <c r="E278" t="s">
        <v>2115</v>
      </c>
      <c r="F278" t="s">
        <v>2118</v>
      </c>
      <c r="G278" t="s">
        <v>2122</v>
      </c>
      <c r="H278" t="s">
        <v>2133</v>
      </c>
      <c r="I278" t="s">
        <v>2143</v>
      </c>
      <c r="J278" t="s">
        <v>2149</v>
      </c>
      <c r="K278" t="s">
        <v>2163</v>
      </c>
      <c r="L278" s="3">
        <v>2</v>
      </c>
      <c r="M278" s="2">
        <v>63332.54</v>
      </c>
      <c r="N278" s="5">
        <v>0.05</v>
      </c>
      <c r="O278" s="2">
        <v>120331.83</v>
      </c>
      <c r="P278" s="2">
        <v>15594.17</v>
      </c>
      <c r="Q278" t="s">
        <v>2167</v>
      </c>
    </row>
    <row r="279" spans="1:17">
      <c r="A279" t="s">
        <v>294</v>
      </c>
      <c r="B279" s="1">
        <v>45723</v>
      </c>
      <c r="C279" t="s">
        <v>1680</v>
      </c>
      <c r="D279" t="s">
        <v>1978</v>
      </c>
      <c r="E279" t="s">
        <v>2114</v>
      </c>
      <c r="F279" t="s">
        <v>2119</v>
      </c>
      <c r="G279" t="s">
        <v>2124</v>
      </c>
      <c r="H279" t="s">
        <v>2135</v>
      </c>
      <c r="I279" t="s">
        <v>2143</v>
      </c>
      <c r="J279" t="s">
        <v>2149</v>
      </c>
      <c r="K279" t="s">
        <v>2158</v>
      </c>
      <c r="L279" s="3">
        <v>2</v>
      </c>
      <c r="M279" s="2">
        <v>50276.36</v>
      </c>
      <c r="N279" s="5">
        <v>0.15</v>
      </c>
      <c r="O279" s="2">
        <v>85469.81</v>
      </c>
      <c r="P279" s="2">
        <v>10620.67</v>
      </c>
      <c r="Q279" t="s">
        <v>2170</v>
      </c>
    </row>
    <row r="280" spans="1:17">
      <c r="A280" t="s">
        <v>295</v>
      </c>
      <c r="B280" s="1">
        <v>45723</v>
      </c>
      <c r="C280" t="s">
        <v>1693</v>
      </c>
      <c r="D280" t="s">
        <v>1991</v>
      </c>
      <c r="E280" t="s">
        <v>2113</v>
      </c>
      <c r="F280" t="s">
        <v>2119</v>
      </c>
      <c r="G280" t="s">
        <v>2130</v>
      </c>
      <c r="H280" t="s">
        <v>2141</v>
      </c>
      <c r="I280" t="s">
        <v>2144</v>
      </c>
      <c r="J280" t="s">
        <v>2150</v>
      </c>
      <c r="K280" t="s">
        <v>2159</v>
      </c>
      <c r="L280" s="3">
        <v>3</v>
      </c>
      <c r="M280" s="2">
        <v>453.96</v>
      </c>
      <c r="N280" s="5">
        <v>0</v>
      </c>
      <c r="O280" s="2">
        <v>1361.88</v>
      </c>
      <c r="P280" s="2">
        <v>359.72</v>
      </c>
      <c r="Q280" t="s">
        <v>2170</v>
      </c>
    </row>
    <row r="281" spans="1:17">
      <c r="A281" t="s">
        <v>296</v>
      </c>
      <c r="B281" s="1">
        <v>45724</v>
      </c>
      <c r="C281" t="s">
        <v>1694</v>
      </c>
      <c r="D281" t="s">
        <v>1992</v>
      </c>
      <c r="E281" t="s">
        <v>2114</v>
      </c>
      <c r="F281" t="s">
        <v>2116</v>
      </c>
      <c r="G281" t="s">
        <v>2127</v>
      </c>
      <c r="H281" t="s">
        <v>2140</v>
      </c>
      <c r="I281" t="s">
        <v>2143</v>
      </c>
      <c r="J281" t="s">
        <v>2146</v>
      </c>
      <c r="K281" t="s">
        <v>2154</v>
      </c>
      <c r="L281" s="3">
        <v>2</v>
      </c>
      <c r="M281" s="2">
        <v>40631.46</v>
      </c>
      <c r="N281" s="5">
        <v>0.1</v>
      </c>
      <c r="O281" s="2">
        <v>73136.63</v>
      </c>
      <c r="P281" s="2">
        <v>9412.82</v>
      </c>
      <c r="Q281" t="s">
        <v>2170</v>
      </c>
    </row>
    <row r="282" spans="1:17">
      <c r="A282" t="s">
        <v>297</v>
      </c>
      <c r="B282" s="1">
        <v>45724</v>
      </c>
      <c r="C282" t="s">
        <v>1695</v>
      </c>
      <c r="D282" t="s">
        <v>1993</v>
      </c>
      <c r="E282" t="s">
        <v>2113</v>
      </c>
      <c r="F282" t="s">
        <v>2116</v>
      </c>
      <c r="G282" t="s">
        <v>2127</v>
      </c>
      <c r="H282" t="s">
        <v>2138</v>
      </c>
      <c r="I282" t="s">
        <v>2143</v>
      </c>
      <c r="J282" t="s">
        <v>2146</v>
      </c>
      <c r="K282" t="s">
        <v>2164</v>
      </c>
      <c r="L282" s="3">
        <v>1</v>
      </c>
      <c r="M282" s="2">
        <v>18849.650000000001</v>
      </c>
      <c r="N282" s="5">
        <v>0</v>
      </c>
      <c r="O282" s="2">
        <v>18849.650000000001</v>
      </c>
      <c r="P282" s="2">
        <v>2110.94</v>
      </c>
      <c r="Q282" t="s">
        <v>2168</v>
      </c>
    </row>
    <row r="283" spans="1:17">
      <c r="A283" t="s">
        <v>298</v>
      </c>
      <c r="B283" s="1">
        <v>45725</v>
      </c>
      <c r="C283" t="s">
        <v>1639</v>
      </c>
      <c r="D283" t="s">
        <v>1937</v>
      </c>
      <c r="E283" t="s">
        <v>2115</v>
      </c>
      <c r="F283" t="s">
        <v>2119</v>
      </c>
      <c r="G283" t="s">
        <v>2124</v>
      </c>
      <c r="H283" t="s">
        <v>2135</v>
      </c>
      <c r="I283" t="s">
        <v>2143</v>
      </c>
      <c r="J283" t="s">
        <v>2148</v>
      </c>
      <c r="K283" t="s">
        <v>2156</v>
      </c>
      <c r="L283" s="3">
        <v>2</v>
      </c>
      <c r="M283" s="2">
        <v>1256.1400000000001</v>
      </c>
      <c r="N283" s="5">
        <v>0.15</v>
      </c>
      <c r="O283" s="2">
        <v>2135.44</v>
      </c>
      <c r="P283" s="2">
        <v>367.27</v>
      </c>
      <c r="Q283" t="s">
        <v>2168</v>
      </c>
    </row>
    <row r="284" spans="1:17">
      <c r="A284" t="s">
        <v>299</v>
      </c>
      <c r="B284" s="1">
        <v>45725</v>
      </c>
      <c r="C284" t="s">
        <v>1522</v>
      </c>
      <c r="D284" t="s">
        <v>1820</v>
      </c>
      <c r="E284" t="s">
        <v>2114</v>
      </c>
      <c r="F284" t="s">
        <v>2116</v>
      </c>
      <c r="G284" t="s">
        <v>2120</v>
      </c>
      <c r="H284" t="s">
        <v>2131</v>
      </c>
      <c r="I284" t="s">
        <v>2142</v>
      </c>
      <c r="J284" t="s">
        <v>2147</v>
      </c>
      <c r="K284" t="s">
        <v>2157</v>
      </c>
      <c r="L284" s="3">
        <v>3</v>
      </c>
      <c r="M284" s="2">
        <v>13903.18</v>
      </c>
      <c r="N284" s="5">
        <v>0.05</v>
      </c>
      <c r="O284" s="2">
        <v>39624.06</v>
      </c>
      <c r="P284" s="2">
        <v>6240.35</v>
      </c>
      <c r="Q284" t="s">
        <v>2167</v>
      </c>
    </row>
    <row r="285" spans="1:17">
      <c r="A285" t="s">
        <v>300</v>
      </c>
      <c r="B285" s="1">
        <v>45725</v>
      </c>
      <c r="C285" t="s">
        <v>1696</v>
      </c>
      <c r="D285" t="s">
        <v>1994</v>
      </c>
      <c r="E285" t="s">
        <v>2114</v>
      </c>
      <c r="F285" t="s">
        <v>2117</v>
      </c>
      <c r="G285" t="s">
        <v>2121</v>
      </c>
      <c r="H285" t="s">
        <v>2132</v>
      </c>
      <c r="I285" t="s">
        <v>2143</v>
      </c>
      <c r="J285" t="s">
        <v>2146</v>
      </c>
      <c r="K285" t="s">
        <v>2164</v>
      </c>
      <c r="L285" s="3">
        <v>3</v>
      </c>
      <c r="M285" s="2">
        <v>17486.57</v>
      </c>
      <c r="N285" s="5">
        <v>0.2</v>
      </c>
      <c r="O285" s="2">
        <v>41967.77</v>
      </c>
      <c r="P285" s="2">
        <v>2661.63</v>
      </c>
      <c r="Q285" t="s">
        <v>2167</v>
      </c>
    </row>
    <row r="286" spans="1:17">
      <c r="A286" t="s">
        <v>301</v>
      </c>
      <c r="B286" s="1">
        <v>45726</v>
      </c>
      <c r="C286" t="s">
        <v>1697</v>
      </c>
      <c r="D286" t="s">
        <v>1995</v>
      </c>
      <c r="E286" t="s">
        <v>2115</v>
      </c>
      <c r="F286" t="s">
        <v>2118</v>
      </c>
      <c r="G286" t="s">
        <v>2128</v>
      </c>
      <c r="H286" t="s">
        <v>2128</v>
      </c>
      <c r="I286" t="s">
        <v>2143</v>
      </c>
      <c r="J286" t="s">
        <v>2149</v>
      </c>
      <c r="K286" t="s">
        <v>2158</v>
      </c>
      <c r="L286" s="3">
        <v>2</v>
      </c>
      <c r="M286" s="2">
        <v>50396.78</v>
      </c>
      <c r="N286" s="5">
        <v>0.1</v>
      </c>
      <c r="O286" s="2">
        <v>90714.2</v>
      </c>
      <c r="P286" s="2">
        <v>17238.310000000001</v>
      </c>
      <c r="Q286" t="s">
        <v>2167</v>
      </c>
    </row>
    <row r="287" spans="1:17">
      <c r="A287" t="s">
        <v>302</v>
      </c>
      <c r="B287" s="1">
        <v>45726</v>
      </c>
      <c r="C287" t="s">
        <v>1698</v>
      </c>
      <c r="D287" t="s">
        <v>1996</v>
      </c>
      <c r="E287" t="s">
        <v>2114</v>
      </c>
      <c r="F287" t="s">
        <v>2116</v>
      </c>
      <c r="G287" t="s">
        <v>2120</v>
      </c>
      <c r="H287" t="s">
        <v>2131</v>
      </c>
      <c r="I287" t="s">
        <v>2143</v>
      </c>
      <c r="J287" t="s">
        <v>2146</v>
      </c>
      <c r="K287" t="s">
        <v>2154</v>
      </c>
      <c r="L287" s="3">
        <v>1</v>
      </c>
      <c r="M287" s="2">
        <v>43176.95</v>
      </c>
      <c r="N287" s="5">
        <v>0</v>
      </c>
      <c r="O287" s="2">
        <v>43176.95</v>
      </c>
      <c r="P287" s="2">
        <v>8023.24</v>
      </c>
      <c r="Q287" t="s">
        <v>2168</v>
      </c>
    </row>
    <row r="288" spans="1:17">
      <c r="A288" t="s">
        <v>303</v>
      </c>
      <c r="B288" s="1">
        <v>45726</v>
      </c>
      <c r="C288" t="s">
        <v>1548</v>
      </c>
      <c r="D288" t="s">
        <v>1846</v>
      </c>
      <c r="E288" t="s">
        <v>2114</v>
      </c>
      <c r="F288" t="s">
        <v>2116</v>
      </c>
      <c r="G288" t="s">
        <v>2127</v>
      </c>
      <c r="H288" t="s">
        <v>2140</v>
      </c>
      <c r="I288" t="s">
        <v>2144</v>
      </c>
      <c r="J288" t="s">
        <v>2152</v>
      </c>
      <c r="K288" t="s">
        <v>2166</v>
      </c>
      <c r="L288" s="3">
        <v>1</v>
      </c>
      <c r="M288" s="2">
        <v>609.65</v>
      </c>
      <c r="N288" s="5">
        <v>0.2</v>
      </c>
      <c r="O288" s="2">
        <v>487.72</v>
      </c>
      <c r="P288" s="2">
        <v>128.61000000000001</v>
      </c>
      <c r="Q288" t="s">
        <v>2170</v>
      </c>
    </row>
    <row r="289" spans="1:17">
      <c r="A289" t="s">
        <v>304</v>
      </c>
      <c r="B289" s="1">
        <v>45726</v>
      </c>
      <c r="C289" t="s">
        <v>1626</v>
      </c>
      <c r="D289" t="s">
        <v>1924</v>
      </c>
      <c r="E289" t="s">
        <v>2114</v>
      </c>
      <c r="F289" t="s">
        <v>2119</v>
      </c>
      <c r="G289" t="s">
        <v>2130</v>
      </c>
      <c r="H289" t="s">
        <v>2141</v>
      </c>
      <c r="I289" t="s">
        <v>2142</v>
      </c>
      <c r="J289" t="s">
        <v>2147</v>
      </c>
      <c r="K289" t="s">
        <v>2157</v>
      </c>
      <c r="L289" s="3">
        <v>2</v>
      </c>
      <c r="M289" s="2">
        <v>14840.33</v>
      </c>
      <c r="N289" s="5">
        <v>0.2</v>
      </c>
      <c r="O289" s="2">
        <v>23744.53</v>
      </c>
      <c r="P289" s="2">
        <v>4915.63</v>
      </c>
      <c r="Q289" t="s">
        <v>2169</v>
      </c>
    </row>
    <row r="290" spans="1:17">
      <c r="A290" t="s">
        <v>305</v>
      </c>
      <c r="B290" s="1">
        <v>45726</v>
      </c>
      <c r="C290" t="s">
        <v>1546</v>
      </c>
      <c r="D290" t="s">
        <v>1844</v>
      </c>
      <c r="E290" t="s">
        <v>2114</v>
      </c>
      <c r="F290" t="s">
        <v>2119</v>
      </c>
      <c r="G290" t="s">
        <v>2130</v>
      </c>
      <c r="H290" t="s">
        <v>2141</v>
      </c>
      <c r="I290" t="s">
        <v>2144</v>
      </c>
      <c r="J290" t="s">
        <v>2152</v>
      </c>
      <c r="K290" t="s">
        <v>2166</v>
      </c>
      <c r="L290" s="3">
        <v>1</v>
      </c>
      <c r="M290" s="2">
        <v>583.03</v>
      </c>
      <c r="N290" s="5">
        <v>0.15</v>
      </c>
      <c r="O290" s="2">
        <v>495.58</v>
      </c>
      <c r="P290" s="2">
        <v>102.63</v>
      </c>
      <c r="Q290" t="s">
        <v>2167</v>
      </c>
    </row>
    <row r="291" spans="1:17">
      <c r="A291" t="s">
        <v>306</v>
      </c>
      <c r="B291" s="1">
        <v>45726</v>
      </c>
      <c r="C291" t="s">
        <v>1699</v>
      </c>
      <c r="D291" t="s">
        <v>1997</v>
      </c>
      <c r="E291" t="s">
        <v>2114</v>
      </c>
      <c r="F291" t="s">
        <v>2119</v>
      </c>
      <c r="G291" t="s">
        <v>2130</v>
      </c>
      <c r="H291" t="s">
        <v>2141</v>
      </c>
      <c r="I291" t="s">
        <v>2143</v>
      </c>
      <c r="J291" t="s">
        <v>2149</v>
      </c>
      <c r="K291" t="s">
        <v>2158</v>
      </c>
      <c r="L291" s="3">
        <v>3</v>
      </c>
      <c r="M291" s="2">
        <v>46943.68</v>
      </c>
      <c r="N291" s="5">
        <v>0.1</v>
      </c>
      <c r="O291" s="2">
        <v>126747.94</v>
      </c>
      <c r="P291" s="2">
        <v>23477.99</v>
      </c>
      <c r="Q291" t="s">
        <v>2169</v>
      </c>
    </row>
    <row r="292" spans="1:17">
      <c r="A292" t="s">
        <v>307</v>
      </c>
      <c r="B292" s="1">
        <v>45726</v>
      </c>
      <c r="C292" t="s">
        <v>1553</v>
      </c>
      <c r="D292" t="s">
        <v>1851</v>
      </c>
      <c r="E292" t="s">
        <v>2115</v>
      </c>
      <c r="F292" t="s">
        <v>2117</v>
      </c>
      <c r="G292" t="s">
        <v>2125</v>
      </c>
      <c r="H292" t="s">
        <v>2136</v>
      </c>
      <c r="I292" t="s">
        <v>2142</v>
      </c>
      <c r="J292" t="s">
        <v>2151</v>
      </c>
      <c r="K292" t="s">
        <v>2160</v>
      </c>
      <c r="L292" s="3">
        <v>5</v>
      </c>
      <c r="M292" s="2">
        <v>8826.23</v>
      </c>
      <c r="N292" s="5">
        <v>0.1</v>
      </c>
      <c r="O292" s="2">
        <v>39718.03</v>
      </c>
      <c r="P292" s="2">
        <v>9701.15</v>
      </c>
      <c r="Q292" t="s">
        <v>2169</v>
      </c>
    </row>
    <row r="293" spans="1:17">
      <c r="A293" t="s">
        <v>308</v>
      </c>
      <c r="B293" s="1">
        <v>45727</v>
      </c>
      <c r="C293" t="s">
        <v>1613</v>
      </c>
      <c r="D293" t="s">
        <v>1911</v>
      </c>
      <c r="E293" t="s">
        <v>2114</v>
      </c>
      <c r="F293" t="s">
        <v>2116</v>
      </c>
      <c r="G293" t="s">
        <v>2127</v>
      </c>
      <c r="H293" t="s">
        <v>2138</v>
      </c>
      <c r="I293" t="s">
        <v>2142</v>
      </c>
      <c r="J293" t="s">
        <v>2145</v>
      </c>
      <c r="K293" t="s">
        <v>2165</v>
      </c>
      <c r="L293" s="3">
        <v>1</v>
      </c>
      <c r="M293" s="2">
        <v>6404.86</v>
      </c>
      <c r="N293" s="5">
        <v>0.05</v>
      </c>
      <c r="O293" s="2">
        <v>6084.62</v>
      </c>
      <c r="P293" s="2">
        <v>1165.1099999999999</v>
      </c>
      <c r="Q293" t="s">
        <v>2170</v>
      </c>
    </row>
    <row r="294" spans="1:17">
      <c r="A294" t="s">
        <v>309</v>
      </c>
      <c r="B294" s="1">
        <v>45727</v>
      </c>
      <c r="C294" t="s">
        <v>1700</v>
      </c>
      <c r="D294" t="s">
        <v>1998</v>
      </c>
      <c r="E294" t="s">
        <v>2114</v>
      </c>
      <c r="F294" t="s">
        <v>2119</v>
      </c>
      <c r="G294" t="s">
        <v>2129</v>
      </c>
      <c r="H294" t="s">
        <v>2139</v>
      </c>
      <c r="I294" t="s">
        <v>2143</v>
      </c>
      <c r="J294" t="s">
        <v>2149</v>
      </c>
      <c r="K294" t="s">
        <v>2163</v>
      </c>
      <c r="L294" s="3">
        <v>2</v>
      </c>
      <c r="M294" s="2">
        <v>68216.28</v>
      </c>
      <c r="N294" s="5">
        <v>0.2</v>
      </c>
      <c r="O294" s="2">
        <v>109146.05</v>
      </c>
      <c r="P294" s="2">
        <v>1960.28</v>
      </c>
      <c r="Q294" t="s">
        <v>2168</v>
      </c>
    </row>
    <row r="295" spans="1:17">
      <c r="A295" t="s">
        <v>310</v>
      </c>
      <c r="B295" s="1">
        <v>45727</v>
      </c>
      <c r="C295" t="s">
        <v>1701</v>
      </c>
      <c r="D295" t="s">
        <v>1999</v>
      </c>
      <c r="E295" t="s">
        <v>2114</v>
      </c>
      <c r="F295" t="s">
        <v>2116</v>
      </c>
      <c r="G295" t="s">
        <v>2127</v>
      </c>
      <c r="H295" t="s">
        <v>2140</v>
      </c>
      <c r="I295" t="s">
        <v>2143</v>
      </c>
      <c r="J295" t="s">
        <v>2148</v>
      </c>
      <c r="K295" t="s">
        <v>2156</v>
      </c>
      <c r="L295" s="3">
        <v>2</v>
      </c>
      <c r="M295" s="2">
        <v>1231.6400000000001</v>
      </c>
      <c r="N295" s="5">
        <v>0.05</v>
      </c>
      <c r="O295" s="2">
        <v>2340.12</v>
      </c>
      <c r="P295" s="2">
        <v>197</v>
      </c>
      <c r="Q295" t="s">
        <v>2170</v>
      </c>
    </row>
    <row r="296" spans="1:17">
      <c r="A296" t="s">
        <v>311</v>
      </c>
      <c r="B296" s="1">
        <v>45727</v>
      </c>
      <c r="C296" t="s">
        <v>1680</v>
      </c>
      <c r="D296" t="s">
        <v>1978</v>
      </c>
      <c r="E296" t="s">
        <v>2113</v>
      </c>
      <c r="F296" t="s">
        <v>2119</v>
      </c>
      <c r="G296" t="s">
        <v>2129</v>
      </c>
      <c r="H296" t="s">
        <v>2139</v>
      </c>
      <c r="I296" t="s">
        <v>2142</v>
      </c>
      <c r="J296" t="s">
        <v>2147</v>
      </c>
      <c r="K296" t="s">
        <v>2157</v>
      </c>
      <c r="L296" s="3">
        <v>5</v>
      </c>
      <c r="M296" s="2">
        <v>14839.13</v>
      </c>
      <c r="N296" s="5">
        <v>0</v>
      </c>
      <c r="O296" s="2">
        <v>74195.649999999994</v>
      </c>
      <c r="P296" s="2">
        <v>16408.97</v>
      </c>
      <c r="Q296" t="s">
        <v>2167</v>
      </c>
    </row>
    <row r="297" spans="1:17">
      <c r="A297" t="s">
        <v>312</v>
      </c>
      <c r="B297" s="1">
        <v>45729</v>
      </c>
      <c r="C297" t="s">
        <v>1599</v>
      </c>
      <c r="D297" t="s">
        <v>1897</v>
      </c>
      <c r="E297" t="s">
        <v>2113</v>
      </c>
      <c r="F297" t="s">
        <v>2116</v>
      </c>
      <c r="G297" t="s">
        <v>2120</v>
      </c>
      <c r="H297" t="s">
        <v>2131</v>
      </c>
      <c r="I297" t="s">
        <v>2142</v>
      </c>
      <c r="J297" t="s">
        <v>2151</v>
      </c>
      <c r="K297" t="s">
        <v>2160</v>
      </c>
      <c r="L297" s="3">
        <v>2</v>
      </c>
      <c r="M297" s="2">
        <v>8798.44</v>
      </c>
      <c r="N297" s="5">
        <v>0</v>
      </c>
      <c r="O297" s="2">
        <v>17596.88</v>
      </c>
      <c r="P297" s="2">
        <v>3314.98</v>
      </c>
      <c r="Q297" t="s">
        <v>2168</v>
      </c>
    </row>
    <row r="298" spans="1:17">
      <c r="A298" t="s">
        <v>313</v>
      </c>
      <c r="B298" s="1">
        <v>45729</v>
      </c>
      <c r="C298" t="s">
        <v>1702</v>
      </c>
      <c r="D298" t="s">
        <v>2000</v>
      </c>
      <c r="E298" t="s">
        <v>2115</v>
      </c>
      <c r="F298" t="s">
        <v>2119</v>
      </c>
      <c r="G298" t="s">
        <v>2124</v>
      </c>
      <c r="H298" t="s">
        <v>2135</v>
      </c>
      <c r="I298" t="s">
        <v>2144</v>
      </c>
      <c r="J298" t="s">
        <v>2152</v>
      </c>
      <c r="K298" t="s">
        <v>2166</v>
      </c>
      <c r="L298" s="3">
        <v>2</v>
      </c>
      <c r="M298" s="2">
        <v>584.41</v>
      </c>
      <c r="N298" s="5">
        <v>0.15</v>
      </c>
      <c r="O298" s="2">
        <v>993.5</v>
      </c>
      <c r="P298" s="2">
        <v>187.82</v>
      </c>
      <c r="Q298" t="s">
        <v>2170</v>
      </c>
    </row>
    <row r="299" spans="1:17">
      <c r="A299" t="s">
        <v>314</v>
      </c>
      <c r="B299" s="1">
        <v>45729</v>
      </c>
      <c r="C299" t="s">
        <v>1572</v>
      </c>
      <c r="D299" t="s">
        <v>1870</v>
      </c>
      <c r="E299" t="s">
        <v>2114</v>
      </c>
      <c r="F299" t="s">
        <v>2118</v>
      </c>
      <c r="G299" t="s">
        <v>2126</v>
      </c>
      <c r="H299" t="s">
        <v>2137</v>
      </c>
      <c r="I299" t="s">
        <v>2144</v>
      </c>
      <c r="J299" t="s">
        <v>2152</v>
      </c>
      <c r="K299" t="s">
        <v>2162</v>
      </c>
      <c r="L299" s="3">
        <v>1</v>
      </c>
      <c r="M299" s="2">
        <v>340.7</v>
      </c>
      <c r="N299" s="5">
        <v>0.05</v>
      </c>
      <c r="O299" s="2">
        <v>323.66000000000003</v>
      </c>
      <c r="P299" s="2">
        <v>57.26</v>
      </c>
      <c r="Q299" t="s">
        <v>2168</v>
      </c>
    </row>
    <row r="300" spans="1:17">
      <c r="A300" t="s">
        <v>315</v>
      </c>
      <c r="B300" s="1">
        <v>45729</v>
      </c>
      <c r="C300" t="s">
        <v>1670</v>
      </c>
      <c r="D300" t="s">
        <v>1968</v>
      </c>
      <c r="E300" t="s">
        <v>2115</v>
      </c>
      <c r="F300" t="s">
        <v>2119</v>
      </c>
      <c r="G300" t="s">
        <v>2124</v>
      </c>
      <c r="H300" t="s">
        <v>2135</v>
      </c>
      <c r="I300" t="s">
        <v>2144</v>
      </c>
      <c r="J300" t="s">
        <v>2150</v>
      </c>
      <c r="K300" t="s">
        <v>2159</v>
      </c>
      <c r="L300" s="3">
        <v>2</v>
      </c>
      <c r="M300" s="2">
        <v>471.38</v>
      </c>
      <c r="N300" s="5">
        <v>0.15</v>
      </c>
      <c r="O300" s="2">
        <v>801.35</v>
      </c>
      <c r="P300" s="2">
        <v>241.35</v>
      </c>
      <c r="Q300" t="s">
        <v>2169</v>
      </c>
    </row>
    <row r="301" spans="1:17">
      <c r="A301" t="s">
        <v>316</v>
      </c>
      <c r="B301" s="1">
        <v>45729</v>
      </c>
      <c r="C301" t="s">
        <v>1612</v>
      </c>
      <c r="D301" t="s">
        <v>1910</v>
      </c>
      <c r="E301" t="s">
        <v>2114</v>
      </c>
      <c r="F301" t="s">
        <v>2118</v>
      </c>
      <c r="G301" t="s">
        <v>2122</v>
      </c>
      <c r="H301" t="s">
        <v>2133</v>
      </c>
      <c r="I301" t="s">
        <v>2144</v>
      </c>
      <c r="J301" t="s">
        <v>2150</v>
      </c>
      <c r="K301" t="s">
        <v>2159</v>
      </c>
      <c r="L301" s="3">
        <v>2</v>
      </c>
      <c r="M301" s="2">
        <v>430.28</v>
      </c>
      <c r="N301" s="5">
        <v>0</v>
      </c>
      <c r="O301" s="2">
        <v>860.56</v>
      </c>
      <c r="P301" s="2">
        <v>221.23</v>
      </c>
      <c r="Q301" t="s">
        <v>2168</v>
      </c>
    </row>
    <row r="302" spans="1:17">
      <c r="A302" t="s">
        <v>317</v>
      </c>
      <c r="B302" s="1">
        <v>45729</v>
      </c>
      <c r="C302" t="s">
        <v>1703</v>
      </c>
      <c r="D302" t="s">
        <v>2001</v>
      </c>
      <c r="E302" t="s">
        <v>2114</v>
      </c>
      <c r="F302" t="s">
        <v>2119</v>
      </c>
      <c r="G302" t="s">
        <v>2130</v>
      </c>
      <c r="H302" t="s">
        <v>2141</v>
      </c>
      <c r="I302" t="s">
        <v>2143</v>
      </c>
      <c r="J302" t="s">
        <v>2146</v>
      </c>
      <c r="K302" t="s">
        <v>2164</v>
      </c>
      <c r="L302" s="3">
        <v>3</v>
      </c>
      <c r="M302" s="2">
        <v>17572.82</v>
      </c>
      <c r="N302" s="5">
        <v>0.2</v>
      </c>
      <c r="O302" s="2">
        <v>42174.77</v>
      </c>
      <c r="P302" s="2">
        <v>3136.74</v>
      </c>
      <c r="Q302" t="s">
        <v>2168</v>
      </c>
    </row>
    <row r="303" spans="1:17">
      <c r="A303" t="s">
        <v>318</v>
      </c>
      <c r="B303" s="1">
        <v>45729</v>
      </c>
      <c r="C303" t="s">
        <v>1704</v>
      </c>
      <c r="D303" t="s">
        <v>2002</v>
      </c>
      <c r="E303" t="s">
        <v>2113</v>
      </c>
      <c r="F303" t="s">
        <v>2117</v>
      </c>
      <c r="G303" t="s">
        <v>2121</v>
      </c>
      <c r="H303" t="s">
        <v>2132</v>
      </c>
      <c r="I303" t="s">
        <v>2144</v>
      </c>
      <c r="J303" t="s">
        <v>2147</v>
      </c>
      <c r="K303" t="s">
        <v>2155</v>
      </c>
      <c r="L303" s="3">
        <v>1</v>
      </c>
      <c r="M303" s="2">
        <v>759.63</v>
      </c>
      <c r="N303" s="5">
        <v>0.15</v>
      </c>
      <c r="O303" s="2">
        <v>645.69000000000005</v>
      </c>
      <c r="P303" s="2">
        <v>142.88</v>
      </c>
      <c r="Q303" t="s">
        <v>2167</v>
      </c>
    </row>
    <row r="304" spans="1:17">
      <c r="A304" t="s">
        <v>319</v>
      </c>
      <c r="B304" s="1">
        <v>45730</v>
      </c>
      <c r="C304" t="s">
        <v>1553</v>
      </c>
      <c r="D304" t="s">
        <v>1851</v>
      </c>
      <c r="E304" t="s">
        <v>2114</v>
      </c>
      <c r="F304" t="s">
        <v>2116</v>
      </c>
      <c r="G304" t="s">
        <v>2120</v>
      </c>
      <c r="H304" t="s">
        <v>2131</v>
      </c>
      <c r="I304" t="s">
        <v>2142</v>
      </c>
      <c r="J304" t="s">
        <v>2147</v>
      </c>
      <c r="K304" t="s">
        <v>2157</v>
      </c>
      <c r="L304" s="3">
        <v>2</v>
      </c>
      <c r="M304" s="2">
        <v>14521.67</v>
      </c>
      <c r="N304" s="5">
        <v>0.1</v>
      </c>
      <c r="O304" s="2">
        <v>26139.01</v>
      </c>
      <c r="P304" s="2">
        <v>5807.66</v>
      </c>
      <c r="Q304" t="s">
        <v>2168</v>
      </c>
    </row>
    <row r="305" spans="1:17">
      <c r="A305" t="s">
        <v>320</v>
      </c>
      <c r="B305" s="1">
        <v>45731</v>
      </c>
      <c r="C305" t="s">
        <v>1659</v>
      </c>
      <c r="D305" t="s">
        <v>1957</v>
      </c>
      <c r="E305" t="s">
        <v>2115</v>
      </c>
      <c r="F305" t="s">
        <v>2119</v>
      </c>
      <c r="G305" t="s">
        <v>2130</v>
      </c>
      <c r="H305" t="s">
        <v>2141</v>
      </c>
      <c r="I305" t="s">
        <v>2143</v>
      </c>
      <c r="J305" t="s">
        <v>2146</v>
      </c>
      <c r="K305" t="s">
        <v>2164</v>
      </c>
      <c r="L305" s="3">
        <v>4</v>
      </c>
      <c r="M305" s="2">
        <v>18429.8</v>
      </c>
      <c r="N305" s="5">
        <v>0</v>
      </c>
      <c r="O305" s="2">
        <v>73719.199999999997</v>
      </c>
      <c r="P305" s="2">
        <v>15804.54</v>
      </c>
      <c r="Q305" t="s">
        <v>2168</v>
      </c>
    </row>
    <row r="306" spans="1:17">
      <c r="A306" t="s">
        <v>321</v>
      </c>
      <c r="B306" s="1">
        <v>45731</v>
      </c>
      <c r="C306" t="s">
        <v>1705</v>
      </c>
      <c r="D306" t="s">
        <v>2003</v>
      </c>
      <c r="E306" t="s">
        <v>2114</v>
      </c>
      <c r="F306" t="s">
        <v>2117</v>
      </c>
      <c r="G306" t="s">
        <v>2121</v>
      </c>
      <c r="H306" t="s">
        <v>2132</v>
      </c>
      <c r="I306" t="s">
        <v>2143</v>
      </c>
      <c r="J306" t="s">
        <v>2149</v>
      </c>
      <c r="K306" t="s">
        <v>2163</v>
      </c>
      <c r="L306" s="3">
        <v>2</v>
      </c>
      <c r="M306" s="2">
        <v>67102.44</v>
      </c>
      <c r="N306" s="5">
        <v>0.1</v>
      </c>
      <c r="O306" s="2">
        <v>120784.39</v>
      </c>
      <c r="P306" s="2">
        <v>23814.54</v>
      </c>
      <c r="Q306" t="s">
        <v>2168</v>
      </c>
    </row>
    <row r="307" spans="1:17">
      <c r="A307" t="s">
        <v>322</v>
      </c>
      <c r="B307" s="1">
        <v>45731</v>
      </c>
      <c r="C307" t="s">
        <v>1636</v>
      </c>
      <c r="D307" t="s">
        <v>1934</v>
      </c>
      <c r="E307" t="s">
        <v>2113</v>
      </c>
      <c r="F307" t="s">
        <v>2117</v>
      </c>
      <c r="G307" t="s">
        <v>2121</v>
      </c>
      <c r="H307" t="s">
        <v>2132</v>
      </c>
      <c r="I307" t="s">
        <v>2142</v>
      </c>
      <c r="J307" t="s">
        <v>2147</v>
      </c>
      <c r="K307" t="s">
        <v>2157</v>
      </c>
      <c r="L307" s="3">
        <v>4</v>
      </c>
      <c r="M307" s="2">
        <v>14998.3</v>
      </c>
      <c r="N307" s="5">
        <v>0.1</v>
      </c>
      <c r="O307" s="2">
        <v>53993.88</v>
      </c>
      <c r="P307" s="2">
        <v>8063.32</v>
      </c>
      <c r="Q307" t="s">
        <v>2170</v>
      </c>
    </row>
    <row r="308" spans="1:17">
      <c r="A308" t="s">
        <v>323</v>
      </c>
      <c r="B308" s="1">
        <v>45731</v>
      </c>
      <c r="C308" t="s">
        <v>1706</v>
      </c>
      <c r="D308" t="s">
        <v>2004</v>
      </c>
      <c r="E308" t="s">
        <v>2114</v>
      </c>
      <c r="F308" t="s">
        <v>2119</v>
      </c>
      <c r="G308" t="s">
        <v>2124</v>
      </c>
      <c r="H308" t="s">
        <v>2135</v>
      </c>
      <c r="I308" t="s">
        <v>2144</v>
      </c>
      <c r="J308" t="s">
        <v>2147</v>
      </c>
      <c r="K308" t="s">
        <v>2155</v>
      </c>
      <c r="L308" s="3">
        <v>4</v>
      </c>
      <c r="M308" s="2">
        <v>733.38</v>
      </c>
      <c r="N308" s="5">
        <v>0.05</v>
      </c>
      <c r="O308" s="2">
        <v>2786.84</v>
      </c>
      <c r="P308" s="2">
        <v>740.31</v>
      </c>
      <c r="Q308" t="s">
        <v>2168</v>
      </c>
    </row>
    <row r="309" spans="1:17">
      <c r="A309" t="s">
        <v>324</v>
      </c>
      <c r="B309" s="1">
        <v>45731</v>
      </c>
      <c r="C309" t="s">
        <v>1707</v>
      </c>
      <c r="D309" t="s">
        <v>2005</v>
      </c>
      <c r="E309" t="s">
        <v>2113</v>
      </c>
      <c r="F309" t="s">
        <v>2118</v>
      </c>
      <c r="G309" t="s">
        <v>2128</v>
      </c>
      <c r="H309" t="s">
        <v>2128</v>
      </c>
      <c r="I309" t="s">
        <v>2144</v>
      </c>
      <c r="J309" t="s">
        <v>2150</v>
      </c>
      <c r="K309" t="s">
        <v>2159</v>
      </c>
      <c r="L309" s="3">
        <v>1</v>
      </c>
      <c r="M309" s="2">
        <v>445.77</v>
      </c>
      <c r="N309" s="5">
        <v>0.15</v>
      </c>
      <c r="O309" s="2">
        <v>378.9</v>
      </c>
      <c r="P309" s="2">
        <v>92.14</v>
      </c>
      <c r="Q309" t="s">
        <v>2168</v>
      </c>
    </row>
    <row r="310" spans="1:17">
      <c r="A310" t="s">
        <v>325</v>
      </c>
      <c r="B310" s="1">
        <v>45731</v>
      </c>
      <c r="C310" t="s">
        <v>1593</v>
      </c>
      <c r="D310" t="s">
        <v>1891</v>
      </c>
      <c r="E310" t="s">
        <v>2114</v>
      </c>
      <c r="F310" t="s">
        <v>2118</v>
      </c>
      <c r="G310" t="s">
        <v>2126</v>
      </c>
      <c r="H310" t="s">
        <v>2137</v>
      </c>
      <c r="I310" t="s">
        <v>2144</v>
      </c>
      <c r="J310" t="s">
        <v>2147</v>
      </c>
      <c r="K310" t="s">
        <v>2155</v>
      </c>
      <c r="L310" s="3">
        <v>2</v>
      </c>
      <c r="M310" s="2">
        <v>764.11</v>
      </c>
      <c r="N310" s="5">
        <v>0</v>
      </c>
      <c r="O310" s="2">
        <v>1528.22</v>
      </c>
      <c r="P310" s="2">
        <v>522.57000000000005</v>
      </c>
      <c r="Q310" t="s">
        <v>2167</v>
      </c>
    </row>
    <row r="311" spans="1:17">
      <c r="A311" t="s">
        <v>326</v>
      </c>
      <c r="B311" s="1">
        <v>45732</v>
      </c>
      <c r="C311" t="s">
        <v>1708</v>
      </c>
      <c r="D311" t="s">
        <v>2006</v>
      </c>
      <c r="E311" t="s">
        <v>2114</v>
      </c>
      <c r="F311" t="s">
        <v>2116</v>
      </c>
      <c r="G311" t="s">
        <v>2127</v>
      </c>
      <c r="H311" t="s">
        <v>2138</v>
      </c>
      <c r="I311" t="s">
        <v>2144</v>
      </c>
      <c r="J311" t="s">
        <v>2147</v>
      </c>
      <c r="K311" t="s">
        <v>2155</v>
      </c>
      <c r="L311" s="3">
        <v>2</v>
      </c>
      <c r="M311" s="2">
        <v>721.38</v>
      </c>
      <c r="N311" s="5">
        <v>0.15</v>
      </c>
      <c r="O311" s="2">
        <v>1226.3499999999999</v>
      </c>
      <c r="P311" s="2">
        <v>227.47</v>
      </c>
      <c r="Q311" t="s">
        <v>2168</v>
      </c>
    </row>
    <row r="312" spans="1:17">
      <c r="A312" t="s">
        <v>327</v>
      </c>
      <c r="B312" s="1">
        <v>45732</v>
      </c>
      <c r="C312" t="s">
        <v>1619</v>
      </c>
      <c r="D312" t="s">
        <v>1917</v>
      </c>
      <c r="E312" t="s">
        <v>2115</v>
      </c>
      <c r="F312" t="s">
        <v>2117</v>
      </c>
      <c r="G312" t="s">
        <v>2125</v>
      </c>
      <c r="H312" t="s">
        <v>2136</v>
      </c>
      <c r="I312" t="s">
        <v>2143</v>
      </c>
      <c r="J312" t="s">
        <v>2149</v>
      </c>
      <c r="K312" t="s">
        <v>2163</v>
      </c>
      <c r="L312" s="3">
        <v>2</v>
      </c>
      <c r="M312" s="2">
        <v>66469.72</v>
      </c>
      <c r="N312" s="5">
        <v>0.1</v>
      </c>
      <c r="O312" s="2">
        <v>119645.5</v>
      </c>
      <c r="P312" s="2">
        <v>14081.55</v>
      </c>
      <c r="Q312" t="s">
        <v>2169</v>
      </c>
    </row>
    <row r="313" spans="1:17">
      <c r="A313" t="s">
        <v>328</v>
      </c>
      <c r="B313" s="1">
        <v>45732</v>
      </c>
      <c r="C313" t="s">
        <v>1707</v>
      </c>
      <c r="D313" t="s">
        <v>2005</v>
      </c>
      <c r="E313" t="s">
        <v>2113</v>
      </c>
      <c r="F313" t="s">
        <v>2119</v>
      </c>
      <c r="G313" t="s">
        <v>2129</v>
      </c>
      <c r="H313" t="s">
        <v>2139</v>
      </c>
      <c r="I313" t="s">
        <v>2142</v>
      </c>
      <c r="J313" t="s">
        <v>2147</v>
      </c>
      <c r="K313" t="s">
        <v>2157</v>
      </c>
      <c r="L313" s="3">
        <v>2</v>
      </c>
      <c r="M313" s="2">
        <v>14384.78</v>
      </c>
      <c r="N313" s="5">
        <v>0.05</v>
      </c>
      <c r="O313" s="2">
        <v>27331.08</v>
      </c>
      <c r="P313" s="2">
        <v>6355.98</v>
      </c>
      <c r="Q313" t="s">
        <v>2168</v>
      </c>
    </row>
    <row r="314" spans="1:17">
      <c r="A314" t="s">
        <v>329</v>
      </c>
      <c r="B314" s="1">
        <v>45732</v>
      </c>
      <c r="C314" t="s">
        <v>1709</v>
      </c>
      <c r="D314" t="s">
        <v>2007</v>
      </c>
      <c r="E314" t="s">
        <v>2113</v>
      </c>
      <c r="F314" t="s">
        <v>2117</v>
      </c>
      <c r="G314" t="s">
        <v>2123</v>
      </c>
      <c r="H314" t="s">
        <v>2134</v>
      </c>
      <c r="I314" t="s">
        <v>2143</v>
      </c>
      <c r="J314" t="s">
        <v>2148</v>
      </c>
      <c r="K314" t="s">
        <v>2156</v>
      </c>
      <c r="L314" s="3">
        <v>2</v>
      </c>
      <c r="M314" s="2">
        <v>1167.21</v>
      </c>
      <c r="N314" s="5">
        <v>0.05</v>
      </c>
      <c r="O314" s="2">
        <v>2217.6999999999998</v>
      </c>
      <c r="P314" s="2">
        <v>281.44</v>
      </c>
      <c r="Q314" t="s">
        <v>2170</v>
      </c>
    </row>
    <row r="315" spans="1:17">
      <c r="A315" t="s">
        <v>330</v>
      </c>
      <c r="B315" s="1">
        <v>45732</v>
      </c>
      <c r="C315" t="s">
        <v>1710</v>
      </c>
      <c r="D315" t="s">
        <v>2008</v>
      </c>
      <c r="E315" t="s">
        <v>2113</v>
      </c>
      <c r="F315" t="s">
        <v>2116</v>
      </c>
      <c r="G315" t="s">
        <v>2127</v>
      </c>
      <c r="H315" t="s">
        <v>2138</v>
      </c>
      <c r="I315" t="s">
        <v>2143</v>
      </c>
      <c r="J315" t="s">
        <v>2146</v>
      </c>
      <c r="K315" t="s">
        <v>2164</v>
      </c>
      <c r="L315" s="3">
        <v>1</v>
      </c>
      <c r="M315" s="2">
        <v>17436.48</v>
      </c>
      <c r="N315" s="5">
        <v>0.2</v>
      </c>
      <c r="O315" s="2">
        <v>13949.18</v>
      </c>
      <c r="P315" s="2">
        <v>1366.08</v>
      </c>
      <c r="Q315" t="s">
        <v>2169</v>
      </c>
    </row>
    <row r="316" spans="1:17">
      <c r="A316" t="s">
        <v>331</v>
      </c>
      <c r="B316" s="1">
        <v>45733</v>
      </c>
      <c r="C316" t="s">
        <v>1611</v>
      </c>
      <c r="D316" t="s">
        <v>1909</v>
      </c>
      <c r="E316" t="s">
        <v>2114</v>
      </c>
      <c r="F316" t="s">
        <v>2116</v>
      </c>
      <c r="G316" t="s">
        <v>2120</v>
      </c>
      <c r="H316" t="s">
        <v>2131</v>
      </c>
      <c r="I316" t="s">
        <v>2144</v>
      </c>
      <c r="J316" t="s">
        <v>2147</v>
      </c>
      <c r="K316" t="s">
        <v>2155</v>
      </c>
      <c r="L316" s="3">
        <v>2</v>
      </c>
      <c r="M316" s="2">
        <v>715.17</v>
      </c>
      <c r="N316" s="5">
        <v>0.05</v>
      </c>
      <c r="O316" s="2">
        <v>1358.82</v>
      </c>
      <c r="P316" s="2">
        <v>221.21</v>
      </c>
      <c r="Q316" t="s">
        <v>2170</v>
      </c>
    </row>
    <row r="317" spans="1:17">
      <c r="A317" t="s">
        <v>332</v>
      </c>
      <c r="B317" s="1">
        <v>45733</v>
      </c>
      <c r="C317" t="s">
        <v>1711</v>
      </c>
      <c r="D317" t="s">
        <v>2009</v>
      </c>
      <c r="E317" t="s">
        <v>2113</v>
      </c>
      <c r="F317" t="s">
        <v>2118</v>
      </c>
      <c r="G317" t="s">
        <v>2122</v>
      </c>
      <c r="H317" t="s">
        <v>2133</v>
      </c>
      <c r="I317" t="s">
        <v>2143</v>
      </c>
      <c r="J317" t="s">
        <v>2148</v>
      </c>
      <c r="K317" t="s">
        <v>2161</v>
      </c>
      <c r="L317" s="3">
        <v>3</v>
      </c>
      <c r="M317" s="2">
        <v>1816.17</v>
      </c>
      <c r="N317" s="5">
        <v>0.1</v>
      </c>
      <c r="O317" s="2">
        <v>4903.66</v>
      </c>
      <c r="P317" s="2">
        <v>445.76</v>
      </c>
      <c r="Q317" t="s">
        <v>2169</v>
      </c>
    </row>
    <row r="318" spans="1:17">
      <c r="A318" t="s">
        <v>333</v>
      </c>
      <c r="B318" s="1">
        <v>45733</v>
      </c>
      <c r="C318" t="s">
        <v>1712</v>
      </c>
      <c r="D318" t="s">
        <v>2010</v>
      </c>
      <c r="E318" t="s">
        <v>2114</v>
      </c>
      <c r="F318" t="s">
        <v>2116</v>
      </c>
      <c r="G318" t="s">
        <v>2127</v>
      </c>
      <c r="H318" t="s">
        <v>2138</v>
      </c>
      <c r="I318" t="s">
        <v>2143</v>
      </c>
      <c r="J318" t="s">
        <v>2146</v>
      </c>
      <c r="K318" t="s">
        <v>2164</v>
      </c>
      <c r="L318" s="3">
        <v>1</v>
      </c>
      <c r="M318" s="2">
        <v>18891.169999999998</v>
      </c>
      <c r="N318" s="5">
        <v>0.1</v>
      </c>
      <c r="O318" s="2">
        <v>17002.05</v>
      </c>
      <c r="P318" s="2">
        <v>1380.99</v>
      </c>
      <c r="Q318" t="s">
        <v>2167</v>
      </c>
    </row>
    <row r="319" spans="1:17">
      <c r="A319" t="s">
        <v>334</v>
      </c>
      <c r="B319" s="1">
        <v>45733</v>
      </c>
      <c r="C319" t="s">
        <v>1713</v>
      </c>
      <c r="D319" t="s">
        <v>2011</v>
      </c>
      <c r="E319" t="s">
        <v>2114</v>
      </c>
      <c r="F319" t="s">
        <v>2117</v>
      </c>
      <c r="G319" t="s">
        <v>2121</v>
      </c>
      <c r="H319" t="s">
        <v>2132</v>
      </c>
      <c r="I319" t="s">
        <v>2143</v>
      </c>
      <c r="J319" t="s">
        <v>2149</v>
      </c>
      <c r="K319" t="s">
        <v>2158</v>
      </c>
      <c r="L319" s="3">
        <v>3</v>
      </c>
      <c r="M319" s="2">
        <v>48213.55</v>
      </c>
      <c r="N319" s="5">
        <v>0</v>
      </c>
      <c r="O319" s="2">
        <v>144640.65</v>
      </c>
      <c r="P319" s="2">
        <v>11687.86</v>
      </c>
      <c r="Q319" t="s">
        <v>2169</v>
      </c>
    </row>
    <row r="320" spans="1:17">
      <c r="A320" t="s">
        <v>335</v>
      </c>
      <c r="B320" s="1">
        <v>45733</v>
      </c>
      <c r="C320" t="s">
        <v>1714</v>
      </c>
      <c r="D320" t="s">
        <v>2012</v>
      </c>
      <c r="E320" t="s">
        <v>2114</v>
      </c>
      <c r="F320" t="s">
        <v>2118</v>
      </c>
      <c r="G320" t="s">
        <v>2126</v>
      </c>
      <c r="H320" t="s">
        <v>2137</v>
      </c>
      <c r="I320" t="s">
        <v>2144</v>
      </c>
      <c r="J320" t="s">
        <v>2152</v>
      </c>
      <c r="K320" t="s">
        <v>2162</v>
      </c>
      <c r="L320" s="3">
        <v>1</v>
      </c>
      <c r="M320" s="2">
        <v>354.04</v>
      </c>
      <c r="N320" s="5">
        <v>0.1</v>
      </c>
      <c r="O320" s="2">
        <v>318.64</v>
      </c>
      <c r="P320" s="2">
        <v>43.92</v>
      </c>
      <c r="Q320" t="s">
        <v>2167</v>
      </c>
    </row>
    <row r="321" spans="1:17">
      <c r="A321" t="s">
        <v>336</v>
      </c>
      <c r="B321" s="1">
        <v>45734</v>
      </c>
      <c r="C321" t="s">
        <v>1715</v>
      </c>
      <c r="D321" t="s">
        <v>2013</v>
      </c>
      <c r="E321" t="s">
        <v>2113</v>
      </c>
      <c r="F321" t="s">
        <v>2118</v>
      </c>
      <c r="G321" t="s">
        <v>2126</v>
      </c>
      <c r="H321" t="s">
        <v>2137</v>
      </c>
      <c r="I321" t="s">
        <v>2143</v>
      </c>
      <c r="J321" t="s">
        <v>2148</v>
      </c>
      <c r="K321" t="s">
        <v>2161</v>
      </c>
      <c r="L321" s="3">
        <v>2</v>
      </c>
      <c r="M321" s="2">
        <v>1768.76</v>
      </c>
      <c r="N321" s="5">
        <v>0</v>
      </c>
      <c r="O321" s="2">
        <v>3537.52</v>
      </c>
      <c r="P321" s="2">
        <v>539.4</v>
      </c>
      <c r="Q321" t="s">
        <v>2170</v>
      </c>
    </row>
    <row r="322" spans="1:17">
      <c r="A322" t="s">
        <v>337</v>
      </c>
      <c r="B322" s="1">
        <v>45734</v>
      </c>
      <c r="C322" t="s">
        <v>1713</v>
      </c>
      <c r="D322" t="s">
        <v>2011</v>
      </c>
      <c r="E322" t="s">
        <v>2114</v>
      </c>
      <c r="F322" t="s">
        <v>2118</v>
      </c>
      <c r="G322" t="s">
        <v>2128</v>
      </c>
      <c r="H322" t="s">
        <v>2128</v>
      </c>
      <c r="I322" t="s">
        <v>2143</v>
      </c>
      <c r="J322" t="s">
        <v>2149</v>
      </c>
      <c r="K322" t="s">
        <v>2163</v>
      </c>
      <c r="L322" s="3">
        <v>5</v>
      </c>
      <c r="M322" s="2">
        <v>64312.24</v>
      </c>
      <c r="N322" s="5">
        <v>0.1</v>
      </c>
      <c r="O322" s="2">
        <v>289405.08</v>
      </c>
      <c r="P322" s="2">
        <v>51057.96</v>
      </c>
      <c r="Q322" t="s">
        <v>2169</v>
      </c>
    </row>
    <row r="323" spans="1:17">
      <c r="A323" t="s">
        <v>338</v>
      </c>
      <c r="B323" s="1">
        <v>45734</v>
      </c>
      <c r="C323" t="s">
        <v>1609</v>
      </c>
      <c r="D323" t="s">
        <v>1907</v>
      </c>
      <c r="E323" t="s">
        <v>2114</v>
      </c>
      <c r="F323" t="s">
        <v>2119</v>
      </c>
      <c r="G323" t="s">
        <v>2124</v>
      </c>
      <c r="H323" t="s">
        <v>2135</v>
      </c>
      <c r="I323" t="s">
        <v>2142</v>
      </c>
      <c r="J323" t="s">
        <v>2151</v>
      </c>
      <c r="K323" t="s">
        <v>2160</v>
      </c>
      <c r="L323" s="3">
        <v>2</v>
      </c>
      <c r="M323" s="2">
        <v>8384.65</v>
      </c>
      <c r="N323" s="5">
        <v>0.1</v>
      </c>
      <c r="O323" s="2">
        <v>15092.37</v>
      </c>
      <c r="P323" s="2">
        <v>2039.63</v>
      </c>
      <c r="Q323" t="s">
        <v>2168</v>
      </c>
    </row>
    <row r="324" spans="1:17">
      <c r="A324" t="s">
        <v>339</v>
      </c>
      <c r="B324" s="1">
        <v>45734</v>
      </c>
      <c r="C324" t="s">
        <v>1716</v>
      </c>
      <c r="D324" t="s">
        <v>2014</v>
      </c>
      <c r="E324" t="s">
        <v>2113</v>
      </c>
      <c r="F324" t="s">
        <v>2119</v>
      </c>
      <c r="G324" t="s">
        <v>2130</v>
      </c>
      <c r="H324" t="s">
        <v>2141</v>
      </c>
      <c r="I324" t="s">
        <v>2143</v>
      </c>
      <c r="J324" t="s">
        <v>2146</v>
      </c>
      <c r="K324" t="s">
        <v>2154</v>
      </c>
      <c r="L324" s="3">
        <v>1</v>
      </c>
      <c r="M324" s="2">
        <v>43448.13</v>
      </c>
      <c r="N324" s="5">
        <v>0.05</v>
      </c>
      <c r="O324" s="2">
        <v>41275.72</v>
      </c>
      <c r="P324" s="2">
        <v>8145.79</v>
      </c>
      <c r="Q324" t="s">
        <v>2167</v>
      </c>
    </row>
    <row r="325" spans="1:17">
      <c r="A325" t="s">
        <v>340</v>
      </c>
      <c r="B325" s="1">
        <v>45735</v>
      </c>
      <c r="C325" t="s">
        <v>1717</v>
      </c>
      <c r="D325" t="s">
        <v>2015</v>
      </c>
      <c r="E325" t="s">
        <v>2113</v>
      </c>
      <c r="F325" t="s">
        <v>2117</v>
      </c>
      <c r="G325" t="s">
        <v>2121</v>
      </c>
      <c r="H325" t="s">
        <v>2132</v>
      </c>
      <c r="I325" t="s">
        <v>2142</v>
      </c>
      <c r="J325" t="s">
        <v>2145</v>
      </c>
      <c r="K325" t="s">
        <v>2165</v>
      </c>
      <c r="L325" s="3">
        <v>1</v>
      </c>
      <c r="M325" s="2">
        <v>6640.17</v>
      </c>
      <c r="N325" s="5">
        <v>0.1</v>
      </c>
      <c r="O325" s="2">
        <v>5976.15</v>
      </c>
      <c r="P325" s="2">
        <v>1382.59</v>
      </c>
      <c r="Q325" t="s">
        <v>2169</v>
      </c>
    </row>
    <row r="326" spans="1:17">
      <c r="A326" t="s">
        <v>341</v>
      </c>
      <c r="B326" s="1">
        <v>45735</v>
      </c>
      <c r="C326" t="s">
        <v>1718</v>
      </c>
      <c r="D326" t="s">
        <v>2016</v>
      </c>
      <c r="E326" t="s">
        <v>2113</v>
      </c>
      <c r="F326" t="s">
        <v>2117</v>
      </c>
      <c r="G326" t="s">
        <v>2125</v>
      </c>
      <c r="H326" t="s">
        <v>2136</v>
      </c>
      <c r="I326" t="s">
        <v>2143</v>
      </c>
      <c r="J326" t="s">
        <v>2149</v>
      </c>
      <c r="K326" t="s">
        <v>2163</v>
      </c>
      <c r="L326" s="3">
        <v>2</v>
      </c>
      <c r="M326" s="2">
        <v>63778.42</v>
      </c>
      <c r="N326" s="5">
        <v>0</v>
      </c>
      <c r="O326" s="2">
        <v>127556.84</v>
      </c>
      <c r="P326" s="2">
        <v>24533.7</v>
      </c>
      <c r="Q326" t="s">
        <v>2168</v>
      </c>
    </row>
    <row r="327" spans="1:17">
      <c r="A327" t="s">
        <v>342</v>
      </c>
      <c r="B327" s="1">
        <v>45735</v>
      </c>
      <c r="C327" t="s">
        <v>1553</v>
      </c>
      <c r="D327" t="s">
        <v>1851</v>
      </c>
      <c r="E327" t="s">
        <v>2114</v>
      </c>
      <c r="F327" t="s">
        <v>2117</v>
      </c>
      <c r="G327" t="s">
        <v>2125</v>
      </c>
      <c r="H327" t="s">
        <v>2136</v>
      </c>
      <c r="I327" t="s">
        <v>2144</v>
      </c>
      <c r="J327" t="s">
        <v>2150</v>
      </c>
      <c r="K327" t="s">
        <v>2159</v>
      </c>
      <c r="L327" s="3">
        <v>2</v>
      </c>
      <c r="M327" s="2">
        <v>428.22</v>
      </c>
      <c r="N327" s="5">
        <v>0.15</v>
      </c>
      <c r="O327" s="2">
        <v>727.97</v>
      </c>
      <c r="P327" s="2">
        <v>208.76</v>
      </c>
      <c r="Q327" t="s">
        <v>2169</v>
      </c>
    </row>
    <row r="328" spans="1:17">
      <c r="A328" t="s">
        <v>343</v>
      </c>
      <c r="B328" s="1">
        <v>45736</v>
      </c>
      <c r="C328" t="s">
        <v>1719</v>
      </c>
      <c r="D328" t="s">
        <v>2017</v>
      </c>
      <c r="E328" t="s">
        <v>2114</v>
      </c>
      <c r="F328" t="s">
        <v>2118</v>
      </c>
      <c r="G328" t="s">
        <v>2122</v>
      </c>
      <c r="H328" t="s">
        <v>2133</v>
      </c>
      <c r="I328" t="s">
        <v>2143</v>
      </c>
      <c r="J328" t="s">
        <v>2146</v>
      </c>
      <c r="K328" t="s">
        <v>2164</v>
      </c>
      <c r="L328" s="3">
        <v>1</v>
      </c>
      <c r="M328" s="2">
        <v>17310.57</v>
      </c>
      <c r="N328" s="5">
        <v>0.05</v>
      </c>
      <c r="O328" s="2">
        <v>16445.04</v>
      </c>
      <c r="P328" s="2">
        <v>2101.56</v>
      </c>
      <c r="Q328" t="s">
        <v>2167</v>
      </c>
    </row>
    <row r="329" spans="1:17">
      <c r="A329" t="s">
        <v>344</v>
      </c>
      <c r="B329" s="1">
        <v>45736</v>
      </c>
      <c r="C329" t="s">
        <v>1720</v>
      </c>
      <c r="D329" t="s">
        <v>2018</v>
      </c>
      <c r="E329" t="s">
        <v>2115</v>
      </c>
      <c r="F329" t="s">
        <v>2117</v>
      </c>
      <c r="G329" t="s">
        <v>2125</v>
      </c>
      <c r="H329" t="s">
        <v>2136</v>
      </c>
      <c r="I329" t="s">
        <v>2143</v>
      </c>
      <c r="J329" t="s">
        <v>2148</v>
      </c>
      <c r="K329" t="s">
        <v>2156</v>
      </c>
      <c r="L329" s="3">
        <v>2</v>
      </c>
      <c r="M329" s="2">
        <v>1224.6400000000001</v>
      </c>
      <c r="N329" s="5">
        <v>0.1</v>
      </c>
      <c r="O329" s="2">
        <v>2204.35</v>
      </c>
      <c r="P329" s="2">
        <v>241.36</v>
      </c>
      <c r="Q329" t="s">
        <v>2167</v>
      </c>
    </row>
    <row r="330" spans="1:17">
      <c r="A330" t="s">
        <v>345</v>
      </c>
      <c r="B330" s="1">
        <v>45736</v>
      </c>
      <c r="C330" t="s">
        <v>1685</v>
      </c>
      <c r="D330" t="s">
        <v>1983</v>
      </c>
      <c r="E330" t="s">
        <v>2114</v>
      </c>
      <c r="F330" t="s">
        <v>2117</v>
      </c>
      <c r="G330" t="s">
        <v>2123</v>
      </c>
      <c r="H330" t="s">
        <v>2134</v>
      </c>
      <c r="I330" t="s">
        <v>2143</v>
      </c>
      <c r="J330" t="s">
        <v>2148</v>
      </c>
      <c r="K330" t="s">
        <v>2156</v>
      </c>
      <c r="L330" s="3">
        <v>1</v>
      </c>
      <c r="M330" s="2">
        <v>1211.72</v>
      </c>
      <c r="N330" s="5">
        <v>0.05</v>
      </c>
      <c r="O330" s="2">
        <v>1151.1300000000001</v>
      </c>
      <c r="P330" s="2">
        <v>213.22</v>
      </c>
      <c r="Q330" t="s">
        <v>2168</v>
      </c>
    </row>
    <row r="331" spans="1:17">
      <c r="A331" t="s">
        <v>346</v>
      </c>
      <c r="B331" s="1">
        <v>45736</v>
      </c>
      <c r="C331" t="s">
        <v>1721</v>
      </c>
      <c r="D331" t="s">
        <v>2019</v>
      </c>
      <c r="E331" t="s">
        <v>2114</v>
      </c>
      <c r="F331" t="s">
        <v>2117</v>
      </c>
      <c r="G331" t="s">
        <v>2125</v>
      </c>
      <c r="H331" t="s">
        <v>2136</v>
      </c>
      <c r="I331" t="s">
        <v>2144</v>
      </c>
      <c r="J331" t="s">
        <v>2152</v>
      </c>
      <c r="K331" t="s">
        <v>2162</v>
      </c>
      <c r="L331" s="3">
        <v>5</v>
      </c>
      <c r="M331" s="2">
        <v>345.59</v>
      </c>
      <c r="N331" s="5">
        <v>0.15</v>
      </c>
      <c r="O331" s="2">
        <v>1468.76</v>
      </c>
      <c r="P331" s="2">
        <v>361</v>
      </c>
      <c r="Q331" t="s">
        <v>2170</v>
      </c>
    </row>
    <row r="332" spans="1:17">
      <c r="A332" t="s">
        <v>347</v>
      </c>
      <c r="B332" s="1">
        <v>45736</v>
      </c>
      <c r="C332" t="s">
        <v>1568</v>
      </c>
      <c r="D332" t="s">
        <v>1866</v>
      </c>
      <c r="E332" t="s">
        <v>2114</v>
      </c>
      <c r="F332" t="s">
        <v>2118</v>
      </c>
      <c r="G332" t="s">
        <v>2128</v>
      </c>
      <c r="H332" t="s">
        <v>2128</v>
      </c>
      <c r="I332" t="s">
        <v>2143</v>
      </c>
      <c r="J332" t="s">
        <v>2146</v>
      </c>
      <c r="K332" t="s">
        <v>2154</v>
      </c>
      <c r="L332" s="3">
        <v>1</v>
      </c>
      <c r="M332" s="2">
        <v>43866.68</v>
      </c>
      <c r="N332" s="5">
        <v>0.05</v>
      </c>
      <c r="O332" s="2">
        <v>41673.35</v>
      </c>
      <c r="P332" s="2">
        <v>6519.77</v>
      </c>
      <c r="Q332" t="s">
        <v>2168</v>
      </c>
    </row>
    <row r="333" spans="1:17">
      <c r="A333" t="s">
        <v>348</v>
      </c>
      <c r="B333" s="1">
        <v>45737</v>
      </c>
      <c r="C333" t="s">
        <v>1562</v>
      </c>
      <c r="D333" t="s">
        <v>1860</v>
      </c>
      <c r="E333" t="s">
        <v>2115</v>
      </c>
      <c r="F333" t="s">
        <v>2119</v>
      </c>
      <c r="G333" t="s">
        <v>2129</v>
      </c>
      <c r="H333" t="s">
        <v>2139</v>
      </c>
      <c r="I333" t="s">
        <v>2143</v>
      </c>
      <c r="J333" t="s">
        <v>2149</v>
      </c>
      <c r="K333" t="s">
        <v>2158</v>
      </c>
      <c r="L333" s="3">
        <v>2</v>
      </c>
      <c r="M333" s="2">
        <v>47056.82</v>
      </c>
      <c r="N333" s="5">
        <v>0.15</v>
      </c>
      <c r="O333" s="2">
        <v>79996.59</v>
      </c>
      <c r="P333" s="2">
        <v>8711.85</v>
      </c>
      <c r="Q333" t="s">
        <v>2168</v>
      </c>
    </row>
    <row r="334" spans="1:17">
      <c r="A334" t="s">
        <v>349</v>
      </c>
      <c r="B334" s="1">
        <v>45737</v>
      </c>
      <c r="C334" t="s">
        <v>1703</v>
      </c>
      <c r="D334" t="s">
        <v>2001</v>
      </c>
      <c r="E334" t="s">
        <v>2115</v>
      </c>
      <c r="F334" t="s">
        <v>2119</v>
      </c>
      <c r="G334" t="s">
        <v>2130</v>
      </c>
      <c r="H334" t="s">
        <v>2141</v>
      </c>
      <c r="I334" t="s">
        <v>2143</v>
      </c>
      <c r="J334" t="s">
        <v>2149</v>
      </c>
      <c r="K334" t="s">
        <v>2163</v>
      </c>
      <c r="L334" s="3">
        <v>4</v>
      </c>
      <c r="M334" s="2">
        <v>66248.33</v>
      </c>
      <c r="N334" s="5">
        <v>0</v>
      </c>
      <c r="O334" s="2">
        <v>264993.32</v>
      </c>
      <c r="P334" s="2">
        <v>26392.87</v>
      </c>
      <c r="Q334" t="s">
        <v>2169</v>
      </c>
    </row>
    <row r="335" spans="1:17">
      <c r="A335" t="s">
        <v>350</v>
      </c>
      <c r="B335" s="1">
        <v>45737</v>
      </c>
      <c r="C335" t="s">
        <v>1722</v>
      </c>
      <c r="D335" t="s">
        <v>2020</v>
      </c>
      <c r="E335" t="s">
        <v>2114</v>
      </c>
      <c r="F335" t="s">
        <v>2119</v>
      </c>
      <c r="G335" t="s">
        <v>2124</v>
      </c>
      <c r="H335" t="s">
        <v>2135</v>
      </c>
      <c r="I335" t="s">
        <v>2143</v>
      </c>
      <c r="J335" t="s">
        <v>2148</v>
      </c>
      <c r="K335" t="s">
        <v>2156</v>
      </c>
      <c r="L335" s="3">
        <v>3</v>
      </c>
      <c r="M335" s="2">
        <v>1140.6500000000001</v>
      </c>
      <c r="N335" s="5">
        <v>0.05</v>
      </c>
      <c r="O335" s="2">
        <v>3250.85</v>
      </c>
      <c r="P335" s="2">
        <v>508.54</v>
      </c>
      <c r="Q335" t="s">
        <v>2169</v>
      </c>
    </row>
    <row r="336" spans="1:17">
      <c r="A336" t="s">
        <v>351</v>
      </c>
      <c r="B336" s="1">
        <v>45737</v>
      </c>
      <c r="C336" t="s">
        <v>1604</v>
      </c>
      <c r="D336" t="s">
        <v>1902</v>
      </c>
      <c r="E336" t="s">
        <v>2113</v>
      </c>
      <c r="F336" t="s">
        <v>2118</v>
      </c>
      <c r="G336" t="s">
        <v>2122</v>
      </c>
      <c r="H336" t="s">
        <v>2133</v>
      </c>
      <c r="I336" t="s">
        <v>2144</v>
      </c>
      <c r="J336" t="s">
        <v>2152</v>
      </c>
      <c r="K336" t="s">
        <v>2162</v>
      </c>
      <c r="L336" s="3">
        <v>1</v>
      </c>
      <c r="M336" s="2">
        <v>333.62</v>
      </c>
      <c r="N336" s="5">
        <v>0.1</v>
      </c>
      <c r="O336" s="2">
        <v>300.26</v>
      </c>
      <c r="P336" s="2">
        <v>44.9</v>
      </c>
      <c r="Q336" t="s">
        <v>2169</v>
      </c>
    </row>
    <row r="337" spans="1:17">
      <c r="A337" t="s">
        <v>352</v>
      </c>
      <c r="B337" s="1">
        <v>45738</v>
      </c>
      <c r="C337" t="s">
        <v>1517</v>
      </c>
      <c r="D337" t="s">
        <v>1815</v>
      </c>
      <c r="E337" t="s">
        <v>2113</v>
      </c>
      <c r="F337" t="s">
        <v>2116</v>
      </c>
      <c r="G337" t="s">
        <v>2127</v>
      </c>
      <c r="H337" t="s">
        <v>2138</v>
      </c>
      <c r="I337" t="s">
        <v>2142</v>
      </c>
      <c r="J337" t="s">
        <v>2151</v>
      </c>
      <c r="K337" t="s">
        <v>2160</v>
      </c>
      <c r="L337" s="3">
        <v>1</v>
      </c>
      <c r="M337" s="2">
        <v>8901.16</v>
      </c>
      <c r="N337" s="5">
        <v>0.05</v>
      </c>
      <c r="O337" s="2">
        <v>8456.1</v>
      </c>
      <c r="P337" s="2">
        <v>989.86</v>
      </c>
      <c r="Q337" t="s">
        <v>2170</v>
      </c>
    </row>
    <row r="338" spans="1:17">
      <c r="A338" t="s">
        <v>353</v>
      </c>
      <c r="B338" s="1">
        <v>45738</v>
      </c>
      <c r="C338" t="s">
        <v>1557</v>
      </c>
      <c r="D338" t="s">
        <v>1855</v>
      </c>
      <c r="E338" t="s">
        <v>2115</v>
      </c>
      <c r="F338" t="s">
        <v>2116</v>
      </c>
      <c r="G338" t="s">
        <v>2127</v>
      </c>
      <c r="H338" t="s">
        <v>2140</v>
      </c>
      <c r="I338" t="s">
        <v>2142</v>
      </c>
      <c r="J338" t="s">
        <v>2145</v>
      </c>
      <c r="K338" t="s">
        <v>2165</v>
      </c>
      <c r="L338" s="3">
        <v>1</v>
      </c>
      <c r="M338" s="2">
        <v>6676.96</v>
      </c>
      <c r="N338" s="5">
        <v>0.2</v>
      </c>
      <c r="O338" s="2">
        <v>5341.57</v>
      </c>
      <c r="P338" s="2">
        <v>702.51</v>
      </c>
      <c r="Q338" t="s">
        <v>2170</v>
      </c>
    </row>
    <row r="339" spans="1:17">
      <c r="A339" t="s">
        <v>354</v>
      </c>
      <c r="B339" s="1">
        <v>45739</v>
      </c>
      <c r="C339" t="s">
        <v>1604</v>
      </c>
      <c r="D339" t="s">
        <v>1902</v>
      </c>
      <c r="E339" t="s">
        <v>2114</v>
      </c>
      <c r="F339" t="s">
        <v>2119</v>
      </c>
      <c r="G339" t="s">
        <v>2129</v>
      </c>
      <c r="H339" t="s">
        <v>2139</v>
      </c>
      <c r="I339" t="s">
        <v>2144</v>
      </c>
      <c r="J339" t="s">
        <v>2147</v>
      </c>
      <c r="K339" t="s">
        <v>2155</v>
      </c>
      <c r="L339" s="3">
        <v>1</v>
      </c>
      <c r="M339" s="2">
        <v>784.62</v>
      </c>
      <c r="N339" s="5">
        <v>0</v>
      </c>
      <c r="O339" s="2">
        <v>784.62</v>
      </c>
      <c r="P339" s="2">
        <v>244.37</v>
      </c>
      <c r="Q339" t="s">
        <v>2168</v>
      </c>
    </row>
    <row r="340" spans="1:17">
      <c r="A340" t="s">
        <v>355</v>
      </c>
      <c r="B340" s="1">
        <v>45739</v>
      </c>
      <c r="C340" t="s">
        <v>1690</v>
      </c>
      <c r="D340" t="s">
        <v>1988</v>
      </c>
      <c r="E340" t="s">
        <v>2114</v>
      </c>
      <c r="F340" t="s">
        <v>2119</v>
      </c>
      <c r="G340" t="s">
        <v>2124</v>
      </c>
      <c r="H340" t="s">
        <v>2135</v>
      </c>
      <c r="I340" t="s">
        <v>2143</v>
      </c>
      <c r="J340" t="s">
        <v>2148</v>
      </c>
      <c r="K340" t="s">
        <v>2161</v>
      </c>
      <c r="L340" s="3">
        <v>1</v>
      </c>
      <c r="M340" s="2">
        <v>1744.34</v>
      </c>
      <c r="N340" s="5">
        <v>0.05</v>
      </c>
      <c r="O340" s="2">
        <v>1657.12</v>
      </c>
      <c r="P340" s="2">
        <v>314.47000000000003</v>
      </c>
      <c r="Q340" t="s">
        <v>2170</v>
      </c>
    </row>
    <row r="341" spans="1:17">
      <c r="A341" t="s">
        <v>356</v>
      </c>
      <c r="B341" s="1">
        <v>45739</v>
      </c>
      <c r="C341" t="s">
        <v>1723</v>
      </c>
      <c r="D341" t="s">
        <v>2021</v>
      </c>
      <c r="E341" t="s">
        <v>2114</v>
      </c>
      <c r="F341" t="s">
        <v>2118</v>
      </c>
      <c r="G341" t="s">
        <v>2126</v>
      </c>
      <c r="H341" t="s">
        <v>2137</v>
      </c>
      <c r="I341" t="s">
        <v>2144</v>
      </c>
      <c r="J341" t="s">
        <v>2147</v>
      </c>
      <c r="K341" t="s">
        <v>2155</v>
      </c>
      <c r="L341" s="3">
        <v>2</v>
      </c>
      <c r="M341" s="2">
        <v>768.88</v>
      </c>
      <c r="N341" s="5">
        <v>0</v>
      </c>
      <c r="O341" s="2">
        <v>1537.76</v>
      </c>
      <c r="P341" s="2">
        <v>509.38</v>
      </c>
      <c r="Q341" t="s">
        <v>2167</v>
      </c>
    </row>
    <row r="342" spans="1:17">
      <c r="A342" t="s">
        <v>357</v>
      </c>
      <c r="B342" s="1">
        <v>45740</v>
      </c>
      <c r="C342" t="s">
        <v>1724</v>
      </c>
      <c r="D342" t="s">
        <v>2022</v>
      </c>
      <c r="E342" t="s">
        <v>2115</v>
      </c>
      <c r="F342" t="s">
        <v>2117</v>
      </c>
      <c r="G342" t="s">
        <v>2123</v>
      </c>
      <c r="H342" t="s">
        <v>2134</v>
      </c>
      <c r="I342" t="s">
        <v>2143</v>
      </c>
      <c r="J342" t="s">
        <v>2146</v>
      </c>
      <c r="K342" t="s">
        <v>2154</v>
      </c>
      <c r="L342" s="3">
        <v>1</v>
      </c>
      <c r="M342" s="2">
        <v>42341.19</v>
      </c>
      <c r="N342" s="5">
        <v>0.1</v>
      </c>
      <c r="O342" s="2">
        <v>38107.07</v>
      </c>
      <c r="P342" s="2">
        <v>6576.02</v>
      </c>
      <c r="Q342" t="s">
        <v>2169</v>
      </c>
    </row>
    <row r="343" spans="1:17">
      <c r="A343" t="s">
        <v>358</v>
      </c>
      <c r="B343" s="1">
        <v>45740</v>
      </c>
      <c r="C343" t="s">
        <v>1688</v>
      </c>
      <c r="D343" t="s">
        <v>1986</v>
      </c>
      <c r="E343" t="s">
        <v>2114</v>
      </c>
      <c r="F343" t="s">
        <v>2119</v>
      </c>
      <c r="G343" t="s">
        <v>2129</v>
      </c>
      <c r="H343" t="s">
        <v>2139</v>
      </c>
      <c r="I343" t="s">
        <v>2143</v>
      </c>
      <c r="J343" t="s">
        <v>2146</v>
      </c>
      <c r="K343" t="s">
        <v>2154</v>
      </c>
      <c r="L343" s="3">
        <v>1</v>
      </c>
      <c r="M343" s="2">
        <v>43871.08</v>
      </c>
      <c r="N343" s="5">
        <v>0.1</v>
      </c>
      <c r="O343" s="2">
        <v>39483.97</v>
      </c>
      <c r="P343" s="2">
        <v>5828.41</v>
      </c>
      <c r="Q343" t="s">
        <v>2170</v>
      </c>
    </row>
    <row r="344" spans="1:17">
      <c r="A344" t="s">
        <v>359</v>
      </c>
      <c r="B344" s="1">
        <v>45740</v>
      </c>
      <c r="C344" t="s">
        <v>1725</v>
      </c>
      <c r="D344" t="s">
        <v>2023</v>
      </c>
      <c r="E344" t="s">
        <v>2114</v>
      </c>
      <c r="F344" t="s">
        <v>2117</v>
      </c>
      <c r="G344" t="s">
        <v>2123</v>
      </c>
      <c r="H344" t="s">
        <v>2134</v>
      </c>
      <c r="I344" t="s">
        <v>2142</v>
      </c>
      <c r="J344" t="s">
        <v>2145</v>
      </c>
      <c r="K344" t="s">
        <v>2153</v>
      </c>
      <c r="L344" s="3">
        <v>2</v>
      </c>
      <c r="M344" s="2">
        <v>11871.24</v>
      </c>
      <c r="N344" s="5">
        <v>0.1</v>
      </c>
      <c r="O344" s="2">
        <v>21368.23</v>
      </c>
      <c r="P344" s="2">
        <v>4050.57</v>
      </c>
      <c r="Q344" t="s">
        <v>2167</v>
      </c>
    </row>
    <row r="345" spans="1:17">
      <c r="A345" t="s">
        <v>360</v>
      </c>
      <c r="B345" s="1">
        <v>45740</v>
      </c>
      <c r="C345" t="s">
        <v>1532</v>
      </c>
      <c r="D345" t="s">
        <v>1830</v>
      </c>
      <c r="E345" t="s">
        <v>2115</v>
      </c>
      <c r="F345" t="s">
        <v>2117</v>
      </c>
      <c r="G345" t="s">
        <v>2125</v>
      </c>
      <c r="H345" t="s">
        <v>2136</v>
      </c>
      <c r="I345" t="s">
        <v>2143</v>
      </c>
      <c r="J345" t="s">
        <v>2146</v>
      </c>
      <c r="K345" t="s">
        <v>2164</v>
      </c>
      <c r="L345" s="3">
        <v>3</v>
      </c>
      <c r="M345" s="2">
        <v>17494.310000000001</v>
      </c>
      <c r="N345" s="5">
        <v>0.15</v>
      </c>
      <c r="O345" s="2">
        <v>44610.49</v>
      </c>
      <c r="P345" s="2">
        <v>4633.1400000000003</v>
      </c>
      <c r="Q345" t="s">
        <v>2167</v>
      </c>
    </row>
    <row r="346" spans="1:17">
      <c r="A346" t="s">
        <v>361</v>
      </c>
      <c r="B346" s="1">
        <v>45740</v>
      </c>
      <c r="C346" t="s">
        <v>1679</v>
      </c>
      <c r="D346" t="s">
        <v>1977</v>
      </c>
      <c r="E346" t="s">
        <v>2114</v>
      </c>
      <c r="F346" t="s">
        <v>2116</v>
      </c>
      <c r="G346" t="s">
        <v>2127</v>
      </c>
      <c r="H346" t="s">
        <v>2138</v>
      </c>
      <c r="I346" t="s">
        <v>2144</v>
      </c>
      <c r="J346" t="s">
        <v>2147</v>
      </c>
      <c r="K346" t="s">
        <v>2155</v>
      </c>
      <c r="L346" s="3">
        <v>2</v>
      </c>
      <c r="M346" s="2">
        <v>761.08</v>
      </c>
      <c r="N346" s="5">
        <v>0.1</v>
      </c>
      <c r="O346" s="2">
        <v>1369.94</v>
      </c>
      <c r="P346" s="2">
        <v>282.39</v>
      </c>
      <c r="Q346" t="s">
        <v>2167</v>
      </c>
    </row>
    <row r="347" spans="1:17">
      <c r="A347" t="s">
        <v>362</v>
      </c>
      <c r="B347" s="1">
        <v>45741</v>
      </c>
      <c r="C347" t="s">
        <v>1535</v>
      </c>
      <c r="D347" t="s">
        <v>1833</v>
      </c>
      <c r="E347" t="s">
        <v>2114</v>
      </c>
      <c r="F347" t="s">
        <v>2116</v>
      </c>
      <c r="G347" t="s">
        <v>2127</v>
      </c>
      <c r="H347" t="s">
        <v>2138</v>
      </c>
      <c r="I347" t="s">
        <v>2144</v>
      </c>
      <c r="J347" t="s">
        <v>2152</v>
      </c>
      <c r="K347" t="s">
        <v>2166</v>
      </c>
      <c r="L347" s="3">
        <v>2</v>
      </c>
      <c r="M347" s="2">
        <v>585.37</v>
      </c>
      <c r="N347" s="5">
        <v>0.05</v>
      </c>
      <c r="O347" s="2">
        <v>1112.2</v>
      </c>
      <c r="P347" s="2">
        <v>186.67</v>
      </c>
      <c r="Q347" t="s">
        <v>2170</v>
      </c>
    </row>
    <row r="348" spans="1:17">
      <c r="A348" t="s">
        <v>363</v>
      </c>
      <c r="B348" s="1">
        <v>45741</v>
      </c>
      <c r="C348" t="s">
        <v>1706</v>
      </c>
      <c r="D348" t="s">
        <v>2004</v>
      </c>
      <c r="E348" t="s">
        <v>2113</v>
      </c>
      <c r="F348" t="s">
        <v>2116</v>
      </c>
      <c r="G348" t="s">
        <v>2127</v>
      </c>
      <c r="H348" t="s">
        <v>2138</v>
      </c>
      <c r="I348" t="s">
        <v>2143</v>
      </c>
      <c r="J348" t="s">
        <v>2146</v>
      </c>
      <c r="K348" t="s">
        <v>2154</v>
      </c>
      <c r="L348" s="3">
        <v>1</v>
      </c>
      <c r="M348" s="2">
        <v>40845.94</v>
      </c>
      <c r="N348" s="5">
        <v>0</v>
      </c>
      <c r="O348" s="2">
        <v>40845.94</v>
      </c>
      <c r="P348" s="2">
        <v>4018.79</v>
      </c>
      <c r="Q348" t="s">
        <v>2170</v>
      </c>
    </row>
    <row r="349" spans="1:17">
      <c r="A349" t="s">
        <v>364</v>
      </c>
      <c r="B349" s="1">
        <v>45741</v>
      </c>
      <c r="C349" t="s">
        <v>1624</v>
      </c>
      <c r="D349" t="s">
        <v>1922</v>
      </c>
      <c r="E349" t="s">
        <v>2114</v>
      </c>
      <c r="F349" t="s">
        <v>2117</v>
      </c>
      <c r="G349" t="s">
        <v>2123</v>
      </c>
      <c r="H349" t="s">
        <v>2134</v>
      </c>
      <c r="I349" t="s">
        <v>2143</v>
      </c>
      <c r="J349" t="s">
        <v>2149</v>
      </c>
      <c r="K349" t="s">
        <v>2158</v>
      </c>
      <c r="L349" s="3">
        <v>3</v>
      </c>
      <c r="M349" s="2">
        <v>49374.559999999998</v>
      </c>
      <c r="N349" s="5">
        <v>0</v>
      </c>
      <c r="O349" s="2">
        <v>148123.68</v>
      </c>
      <c r="P349" s="2">
        <v>17035.400000000001</v>
      </c>
      <c r="Q349" t="s">
        <v>2168</v>
      </c>
    </row>
    <row r="350" spans="1:17">
      <c r="A350" t="s">
        <v>365</v>
      </c>
      <c r="B350" s="1">
        <v>45741</v>
      </c>
      <c r="C350" t="s">
        <v>1612</v>
      </c>
      <c r="D350" t="s">
        <v>1910</v>
      </c>
      <c r="E350" t="s">
        <v>2113</v>
      </c>
      <c r="F350" t="s">
        <v>2116</v>
      </c>
      <c r="G350" t="s">
        <v>2127</v>
      </c>
      <c r="H350" t="s">
        <v>2140</v>
      </c>
      <c r="I350" t="s">
        <v>2142</v>
      </c>
      <c r="J350" t="s">
        <v>2147</v>
      </c>
      <c r="K350" t="s">
        <v>2157</v>
      </c>
      <c r="L350" s="3">
        <v>4</v>
      </c>
      <c r="M350" s="2">
        <v>15000.18</v>
      </c>
      <c r="N350" s="5">
        <v>0.05</v>
      </c>
      <c r="O350" s="2">
        <v>57000.68</v>
      </c>
      <c r="P350" s="2">
        <v>6437.21</v>
      </c>
      <c r="Q350" t="s">
        <v>2170</v>
      </c>
    </row>
    <row r="351" spans="1:17">
      <c r="A351" t="s">
        <v>366</v>
      </c>
      <c r="B351" s="1">
        <v>45742</v>
      </c>
      <c r="C351" t="s">
        <v>1705</v>
      </c>
      <c r="D351" t="s">
        <v>2003</v>
      </c>
      <c r="E351" t="s">
        <v>2114</v>
      </c>
      <c r="F351" t="s">
        <v>2119</v>
      </c>
      <c r="G351" t="s">
        <v>2129</v>
      </c>
      <c r="H351" t="s">
        <v>2139</v>
      </c>
      <c r="I351" t="s">
        <v>2142</v>
      </c>
      <c r="J351" t="s">
        <v>2147</v>
      </c>
      <c r="K351" t="s">
        <v>2157</v>
      </c>
      <c r="L351" s="3">
        <v>3</v>
      </c>
      <c r="M351" s="2">
        <v>14973.87</v>
      </c>
      <c r="N351" s="5">
        <v>0.05</v>
      </c>
      <c r="O351" s="2">
        <v>42675.53</v>
      </c>
      <c r="P351" s="2">
        <v>8546.58</v>
      </c>
      <c r="Q351" t="s">
        <v>2168</v>
      </c>
    </row>
    <row r="352" spans="1:17">
      <c r="A352" t="s">
        <v>367</v>
      </c>
      <c r="B352" s="1">
        <v>45742</v>
      </c>
      <c r="C352" t="s">
        <v>1726</v>
      </c>
      <c r="D352" t="s">
        <v>2024</v>
      </c>
      <c r="E352" t="s">
        <v>2114</v>
      </c>
      <c r="F352" t="s">
        <v>2118</v>
      </c>
      <c r="G352" t="s">
        <v>2122</v>
      </c>
      <c r="H352" t="s">
        <v>2133</v>
      </c>
      <c r="I352" t="s">
        <v>2144</v>
      </c>
      <c r="J352" t="s">
        <v>2152</v>
      </c>
      <c r="K352" t="s">
        <v>2162</v>
      </c>
      <c r="L352" s="3">
        <v>1</v>
      </c>
      <c r="M352" s="2">
        <v>359.94</v>
      </c>
      <c r="N352" s="5">
        <v>0.15</v>
      </c>
      <c r="O352" s="2">
        <v>305.95</v>
      </c>
      <c r="P352" s="2">
        <v>83.43</v>
      </c>
      <c r="Q352" t="s">
        <v>2168</v>
      </c>
    </row>
    <row r="353" spans="1:17">
      <c r="A353" t="s">
        <v>368</v>
      </c>
      <c r="B353" s="1">
        <v>45742</v>
      </c>
      <c r="C353" t="s">
        <v>1727</v>
      </c>
      <c r="D353" t="s">
        <v>2025</v>
      </c>
      <c r="E353" t="s">
        <v>2114</v>
      </c>
      <c r="F353" t="s">
        <v>2117</v>
      </c>
      <c r="G353" t="s">
        <v>2125</v>
      </c>
      <c r="H353" t="s">
        <v>2136</v>
      </c>
      <c r="I353" t="s">
        <v>2144</v>
      </c>
      <c r="J353" t="s">
        <v>2152</v>
      </c>
      <c r="K353" t="s">
        <v>2162</v>
      </c>
      <c r="L353" s="3">
        <v>3</v>
      </c>
      <c r="M353" s="2">
        <v>337.16</v>
      </c>
      <c r="N353" s="5">
        <v>0.05</v>
      </c>
      <c r="O353" s="2">
        <v>960.91</v>
      </c>
      <c r="P353" s="2">
        <v>158.44</v>
      </c>
      <c r="Q353" t="s">
        <v>2169</v>
      </c>
    </row>
    <row r="354" spans="1:17">
      <c r="A354" t="s">
        <v>369</v>
      </c>
      <c r="B354" s="1">
        <v>45742</v>
      </c>
      <c r="C354" t="s">
        <v>1685</v>
      </c>
      <c r="D354" t="s">
        <v>1983</v>
      </c>
      <c r="E354" t="s">
        <v>2114</v>
      </c>
      <c r="F354" t="s">
        <v>2116</v>
      </c>
      <c r="G354" t="s">
        <v>2127</v>
      </c>
      <c r="H354" t="s">
        <v>2138</v>
      </c>
      <c r="I354" t="s">
        <v>2144</v>
      </c>
      <c r="J354" t="s">
        <v>2152</v>
      </c>
      <c r="K354" t="s">
        <v>2166</v>
      </c>
      <c r="L354" s="3">
        <v>2</v>
      </c>
      <c r="M354" s="2">
        <v>575.22</v>
      </c>
      <c r="N354" s="5">
        <v>0.05</v>
      </c>
      <c r="O354" s="2">
        <v>1092.92</v>
      </c>
      <c r="P354" s="2">
        <v>286.83999999999997</v>
      </c>
      <c r="Q354" t="s">
        <v>2168</v>
      </c>
    </row>
    <row r="355" spans="1:17">
      <c r="A355" t="s">
        <v>370</v>
      </c>
      <c r="B355" s="1">
        <v>45742</v>
      </c>
      <c r="C355" t="s">
        <v>1659</v>
      </c>
      <c r="D355" t="s">
        <v>1957</v>
      </c>
      <c r="E355" t="s">
        <v>2113</v>
      </c>
      <c r="F355" t="s">
        <v>2118</v>
      </c>
      <c r="G355" t="s">
        <v>2128</v>
      </c>
      <c r="H355" t="s">
        <v>2128</v>
      </c>
      <c r="I355" t="s">
        <v>2144</v>
      </c>
      <c r="J355" t="s">
        <v>2150</v>
      </c>
      <c r="K355" t="s">
        <v>2159</v>
      </c>
      <c r="L355" s="3">
        <v>5</v>
      </c>
      <c r="M355" s="2">
        <v>431.85</v>
      </c>
      <c r="N355" s="5">
        <v>0</v>
      </c>
      <c r="O355" s="2">
        <v>2159.25</v>
      </c>
      <c r="P355" s="2">
        <v>635.02</v>
      </c>
      <c r="Q355" t="s">
        <v>2169</v>
      </c>
    </row>
    <row r="356" spans="1:17">
      <c r="A356" t="s">
        <v>371</v>
      </c>
      <c r="B356" s="1">
        <v>45743</v>
      </c>
      <c r="C356" t="s">
        <v>1728</v>
      </c>
      <c r="D356" t="s">
        <v>2026</v>
      </c>
      <c r="E356" t="s">
        <v>2113</v>
      </c>
      <c r="F356" t="s">
        <v>2116</v>
      </c>
      <c r="G356" t="s">
        <v>2120</v>
      </c>
      <c r="H356" t="s">
        <v>2131</v>
      </c>
      <c r="I356" t="s">
        <v>2144</v>
      </c>
      <c r="J356" t="s">
        <v>2150</v>
      </c>
      <c r="K356" t="s">
        <v>2159</v>
      </c>
      <c r="L356" s="3">
        <v>2</v>
      </c>
      <c r="M356" s="2">
        <v>466.21</v>
      </c>
      <c r="N356" s="5">
        <v>0</v>
      </c>
      <c r="O356" s="2">
        <v>932.42</v>
      </c>
      <c r="P356" s="2">
        <v>274.66000000000003</v>
      </c>
      <c r="Q356" t="s">
        <v>2167</v>
      </c>
    </row>
    <row r="357" spans="1:17">
      <c r="A357" t="s">
        <v>372</v>
      </c>
      <c r="B357" s="1">
        <v>45743</v>
      </c>
      <c r="C357" t="s">
        <v>1654</v>
      </c>
      <c r="D357" t="s">
        <v>1952</v>
      </c>
      <c r="E357" t="s">
        <v>2114</v>
      </c>
      <c r="F357" t="s">
        <v>2118</v>
      </c>
      <c r="G357" t="s">
        <v>2122</v>
      </c>
      <c r="H357" t="s">
        <v>2133</v>
      </c>
      <c r="I357" t="s">
        <v>2144</v>
      </c>
      <c r="J357" t="s">
        <v>2147</v>
      </c>
      <c r="K357" t="s">
        <v>2155</v>
      </c>
      <c r="L357" s="3">
        <v>1</v>
      </c>
      <c r="M357" s="2">
        <v>737.56</v>
      </c>
      <c r="N357" s="5">
        <v>0.05</v>
      </c>
      <c r="O357" s="2">
        <v>700.68</v>
      </c>
      <c r="P357" s="2">
        <v>115.37</v>
      </c>
      <c r="Q357" t="s">
        <v>2169</v>
      </c>
    </row>
    <row r="358" spans="1:17">
      <c r="A358" t="s">
        <v>373</v>
      </c>
      <c r="B358" s="1">
        <v>45743</v>
      </c>
      <c r="C358" t="s">
        <v>1673</v>
      </c>
      <c r="D358" t="s">
        <v>1971</v>
      </c>
      <c r="E358" t="s">
        <v>2113</v>
      </c>
      <c r="F358" t="s">
        <v>2117</v>
      </c>
      <c r="G358" t="s">
        <v>2121</v>
      </c>
      <c r="H358" t="s">
        <v>2132</v>
      </c>
      <c r="I358" t="s">
        <v>2142</v>
      </c>
      <c r="J358" t="s">
        <v>2145</v>
      </c>
      <c r="K358" t="s">
        <v>2165</v>
      </c>
      <c r="L358" s="3">
        <v>4</v>
      </c>
      <c r="M358" s="2">
        <v>6273.8</v>
      </c>
      <c r="N358" s="5">
        <v>0.15</v>
      </c>
      <c r="O358" s="2">
        <v>21330.92</v>
      </c>
      <c r="P358" s="2">
        <v>2753.83</v>
      </c>
      <c r="Q358" t="s">
        <v>2167</v>
      </c>
    </row>
    <row r="359" spans="1:17">
      <c r="A359" t="s">
        <v>374</v>
      </c>
      <c r="B359" s="1">
        <v>45743</v>
      </c>
      <c r="C359" t="s">
        <v>1605</v>
      </c>
      <c r="D359" t="s">
        <v>1903</v>
      </c>
      <c r="E359" t="s">
        <v>2113</v>
      </c>
      <c r="F359" t="s">
        <v>2116</v>
      </c>
      <c r="G359" t="s">
        <v>2127</v>
      </c>
      <c r="H359" t="s">
        <v>2140</v>
      </c>
      <c r="I359" t="s">
        <v>2143</v>
      </c>
      <c r="J359" t="s">
        <v>2148</v>
      </c>
      <c r="K359" t="s">
        <v>2156</v>
      </c>
      <c r="L359" s="3">
        <v>3</v>
      </c>
      <c r="M359" s="2">
        <v>1167.58</v>
      </c>
      <c r="N359" s="5">
        <v>0.1</v>
      </c>
      <c r="O359" s="2">
        <v>3152.47</v>
      </c>
      <c r="P359" s="2">
        <v>188.67</v>
      </c>
      <c r="Q359" t="s">
        <v>2170</v>
      </c>
    </row>
    <row r="360" spans="1:17">
      <c r="A360" t="s">
        <v>375</v>
      </c>
      <c r="B360" s="1">
        <v>45744</v>
      </c>
      <c r="C360" t="s">
        <v>1625</v>
      </c>
      <c r="D360" t="s">
        <v>1923</v>
      </c>
      <c r="E360" t="s">
        <v>2115</v>
      </c>
      <c r="F360" t="s">
        <v>2116</v>
      </c>
      <c r="G360" t="s">
        <v>2120</v>
      </c>
      <c r="H360" t="s">
        <v>2131</v>
      </c>
      <c r="I360" t="s">
        <v>2143</v>
      </c>
      <c r="J360" t="s">
        <v>2146</v>
      </c>
      <c r="K360" t="s">
        <v>2164</v>
      </c>
      <c r="L360" s="3">
        <v>1</v>
      </c>
      <c r="M360" s="2">
        <v>18088.46</v>
      </c>
      <c r="N360" s="5">
        <v>0.05</v>
      </c>
      <c r="O360" s="2">
        <v>17184.04</v>
      </c>
      <c r="P360" s="2">
        <v>3357.64</v>
      </c>
      <c r="Q360" t="s">
        <v>2167</v>
      </c>
    </row>
    <row r="361" spans="1:17">
      <c r="A361" t="s">
        <v>376</v>
      </c>
      <c r="B361" s="1">
        <v>45744</v>
      </c>
      <c r="C361" t="s">
        <v>1520</v>
      </c>
      <c r="D361" t="s">
        <v>1818</v>
      </c>
      <c r="E361" t="s">
        <v>2115</v>
      </c>
      <c r="F361" t="s">
        <v>2119</v>
      </c>
      <c r="G361" t="s">
        <v>2130</v>
      </c>
      <c r="H361" t="s">
        <v>2141</v>
      </c>
      <c r="I361" t="s">
        <v>2143</v>
      </c>
      <c r="J361" t="s">
        <v>2146</v>
      </c>
      <c r="K361" t="s">
        <v>2154</v>
      </c>
      <c r="L361" s="3">
        <v>2</v>
      </c>
      <c r="M361" s="2">
        <v>40975.14</v>
      </c>
      <c r="N361" s="5">
        <v>0.05</v>
      </c>
      <c r="O361" s="2">
        <v>77852.77</v>
      </c>
      <c r="P361" s="2">
        <v>12684.86</v>
      </c>
      <c r="Q361" t="s">
        <v>2169</v>
      </c>
    </row>
    <row r="362" spans="1:17">
      <c r="A362" t="s">
        <v>377</v>
      </c>
      <c r="B362" s="1">
        <v>45745</v>
      </c>
      <c r="C362" t="s">
        <v>1587</v>
      </c>
      <c r="D362" t="s">
        <v>1885</v>
      </c>
      <c r="E362" t="s">
        <v>2114</v>
      </c>
      <c r="F362" t="s">
        <v>2116</v>
      </c>
      <c r="G362" t="s">
        <v>2120</v>
      </c>
      <c r="H362" t="s">
        <v>2131</v>
      </c>
      <c r="I362" t="s">
        <v>2142</v>
      </c>
      <c r="J362" t="s">
        <v>2145</v>
      </c>
      <c r="K362" t="s">
        <v>2165</v>
      </c>
      <c r="L362" s="3">
        <v>3</v>
      </c>
      <c r="M362" s="2">
        <v>6620.44</v>
      </c>
      <c r="N362" s="5">
        <v>0</v>
      </c>
      <c r="O362" s="2">
        <v>19861.32</v>
      </c>
      <c r="P362" s="2">
        <v>2675.31</v>
      </c>
      <c r="Q362" t="s">
        <v>2170</v>
      </c>
    </row>
    <row r="363" spans="1:17">
      <c r="A363" t="s">
        <v>378</v>
      </c>
      <c r="B363" s="1">
        <v>45745</v>
      </c>
      <c r="C363" t="s">
        <v>1595</v>
      </c>
      <c r="D363" t="s">
        <v>1893</v>
      </c>
      <c r="E363" t="s">
        <v>2114</v>
      </c>
      <c r="F363" t="s">
        <v>2118</v>
      </c>
      <c r="G363" t="s">
        <v>2122</v>
      </c>
      <c r="H363" t="s">
        <v>2133</v>
      </c>
      <c r="I363" t="s">
        <v>2144</v>
      </c>
      <c r="J363" t="s">
        <v>2147</v>
      </c>
      <c r="K363" t="s">
        <v>2155</v>
      </c>
      <c r="L363" s="3">
        <v>2</v>
      </c>
      <c r="M363" s="2">
        <v>754.25</v>
      </c>
      <c r="N363" s="5">
        <v>0.15</v>
      </c>
      <c r="O363" s="2">
        <v>1282.22</v>
      </c>
      <c r="P363" s="2">
        <v>319.23</v>
      </c>
      <c r="Q363" t="s">
        <v>2169</v>
      </c>
    </row>
    <row r="364" spans="1:17">
      <c r="A364" t="s">
        <v>379</v>
      </c>
      <c r="B364" s="1">
        <v>45746</v>
      </c>
      <c r="C364" t="s">
        <v>1729</v>
      </c>
      <c r="D364" t="s">
        <v>2027</v>
      </c>
      <c r="E364" t="s">
        <v>2114</v>
      </c>
      <c r="F364" t="s">
        <v>2116</v>
      </c>
      <c r="G364" t="s">
        <v>2127</v>
      </c>
      <c r="H364" t="s">
        <v>2140</v>
      </c>
      <c r="I364" t="s">
        <v>2143</v>
      </c>
      <c r="J364" t="s">
        <v>2149</v>
      </c>
      <c r="K364" t="s">
        <v>2158</v>
      </c>
      <c r="L364" s="3">
        <v>4</v>
      </c>
      <c r="M364" s="2">
        <v>47989.5</v>
      </c>
      <c r="N364" s="5">
        <v>0.1</v>
      </c>
      <c r="O364" s="2">
        <v>172762.2</v>
      </c>
      <c r="P364" s="2">
        <v>11807.75</v>
      </c>
      <c r="Q364" t="s">
        <v>2168</v>
      </c>
    </row>
    <row r="365" spans="1:17">
      <c r="A365" t="s">
        <v>380</v>
      </c>
      <c r="B365" s="1">
        <v>45746</v>
      </c>
      <c r="C365" t="s">
        <v>1730</v>
      </c>
      <c r="D365" t="s">
        <v>2028</v>
      </c>
      <c r="E365" t="s">
        <v>2114</v>
      </c>
      <c r="F365" t="s">
        <v>2118</v>
      </c>
      <c r="G365" t="s">
        <v>2128</v>
      </c>
      <c r="H365" t="s">
        <v>2128</v>
      </c>
      <c r="I365" t="s">
        <v>2143</v>
      </c>
      <c r="J365" t="s">
        <v>2148</v>
      </c>
      <c r="K365" t="s">
        <v>2156</v>
      </c>
      <c r="L365" s="3">
        <v>1</v>
      </c>
      <c r="M365" s="2">
        <v>1253.03</v>
      </c>
      <c r="N365" s="5">
        <v>0</v>
      </c>
      <c r="O365" s="2">
        <v>1253.03</v>
      </c>
      <c r="P365" s="2">
        <v>249.33</v>
      </c>
      <c r="Q365" t="s">
        <v>2167</v>
      </c>
    </row>
    <row r="366" spans="1:17">
      <c r="A366" t="s">
        <v>381</v>
      </c>
      <c r="B366" s="1">
        <v>45746</v>
      </c>
      <c r="C366" t="s">
        <v>1529</v>
      </c>
      <c r="D366" t="s">
        <v>1827</v>
      </c>
      <c r="E366" t="s">
        <v>2115</v>
      </c>
      <c r="F366" t="s">
        <v>2117</v>
      </c>
      <c r="G366" t="s">
        <v>2125</v>
      </c>
      <c r="H366" t="s">
        <v>2136</v>
      </c>
      <c r="I366" t="s">
        <v>2142</v>
      </c>
      <c r="J366" t="s">
        <v>2151</v>
      </c>
      <c r="K366" t="s">
        <v>2160</v>
      </c>
      <c r="L366" s="3">
        <v>2</v>
      </c>
      <c r="M366" s="2">
        <v>8878.92</v>
      </c>
      <c r="N366" s="5">
        <v>0.15</v>
      </c>
      <c r="O366" s="2">
        <v>15094.16</v>
      </c>
      <c r="P366" s="2">
        <v>3614.66</v>
      </c>
      <c r="Q366" t="s">
        <v>2168</v>
      </c>
    </row>
    <row r="367" spans="1:17">
      <c r="A367" t="s">
        <v>382</v>
      </c>
      <c r="B367" s="1">
        <v>45747</v>
      </c>
      <c r="C367" t="s">
        <v>1580</v>
      </c>
      <c r="D367" t="s">
        <v>1878</v>
      </c>
      <c r="E367" t="s">
        <v>2114</v>
      </c>
      <c r="F367" t="s">
        <v>2119</v>
      </c>
      <c r="G367" t="s">
        <v>2130</v>
      </c>
      <c r="H367" t="s">
        <v>2141</v>
      </c>
      <c r="I367" t="s">
        <v>2142</v>
      </c>
      <c r="J367" t="s">
        <v>2145</v>
      </c>
      <c r="K367" t="s">
        <v>2165</v>
      </c>
      <c r="L367" s="3">
        <v>1</v>
      </c>
      <c r="M367" s="2">
        <v>6745.57</v>
      </c>
      <c r="N367" s="5">
        <v>0.05</v>
      </c>
      <c r="O367" s="2">
        <v>6408.29</v>
      </c>
      <c r="P367" s="2">
        <v>1519.44</v>
      </c>
      <c r="Q367" t="s">
        <v>2170</v>
      </c>
    </row>
    <row r="368" spans="1:17">
      <c r="A368" t="s">
        <v>383</v>
      </c>
      <c r="B368" s="1">
        <v>45747</v>
      </c>
      <c r="C368" t="s">
        <v>1618</v>
      </c>
      <c r="D368" t="s">
        <v>1916</v>
      </c>
      <c r="E368" t="s">
        <v>2114</v>
      </c>
      <c r="F368" t="s">
        <v>2118</v>
      </c>
      <c r="G368" t="s">
        <v>2128</v>
      </c>
      <c r="H368" t="s">
        <v>2128</v>
      </c>
      <c r="I368" t="s">
        <v>2143</v>
      </c>
      <c r="J368" t="s">
        <v>2149</v>
      </c>
      <c r="K368" t="s">
        <v>2158</v>
      </c>
      <c r="L368" s="3">
        <v>1</v>
      </c>
      <c r="M368" s="2">
        <v>45862.53</v>
      </c>
      <c r="N368" s="5">
        <v>0</v>
      </c>
      <c r="O368" s="2">
        <v>45862.53</v>
      </c>
      <c r="P368" s="2">
        <v>3782.46</v>
      </c>
      <c r="Q368" t="s">
        <v>2167</v>
      </c>
    </row>
    <row r="369" spans="1:17">
      <c r="A369" t="s">
        <v>384</v>
      </c>
      <c r="B369" s="1">
        <v>45747</v>
      </c>
      <c r="C369" t="s">
        <v>1731</v>
      </c>
      <c r="D369" t="s">
        <v>2029</v>
      </c>
      <c r="E369" t="s">
        <v>2115</v>
      </c>
      <c r="F369" t="s">
        <v>2118</v>
      </c>
      <c r="G369" t="s">
        <v>2122</v>
      </c>
      <c r="H369" t="s">
        <v>2133</v>
      </c>
      <c r="I369" t="s">
        <v>2144</v>
      </c>
      <c r="J369" t="s">
        <v>2147</v>
      </c>
      <c r="K369" t="s">
        <v>2155</v>
      </c>
      <c r="L369" s="3">
        <v>1</v>
      </c>
      <c r="M369" s="2">
        <v>727.27</v>
      </c>
      <c r="N369" s="5">
        <v>0.2</v>
      </c>
      <c r="O369" s="2">
        <v>581.82000000000005</v>
      </c>
      <c r="P369" s="2">
        <v>157.41</v>
      </c>
      <c r="Q369" t="s">
        <v>2169</v>
      </c>
    </row>
    <row r="370" spans="1:17">
      <c r="A370" t="s">
        <v>385</v>
      </c>
      <c r="B370" s="1">
        <v>45747</v>
      </c>
      <c r="C370" t="s">
        <v>1569</v>
      </c>
      <c r="D370" t="s">
        <v>1867</v>
      </c>
      <c r="E370" t="s">
        <v>2114</v>
      </c>
      <c r="F370" t="s">
        <v>2116</v>
      </c>
      <c r="G370" t="s">
        <v>2120</v>
      </c>
      <c r="H370" t="s">
        <v>2131</v>
      </c>
      <c r="I370" t="s">
        <v>2144</v>
      </c>
      <c r="J370" t="s">
        <v>2150</v>
      </c>
      <c r="K370" t="s">
        <v>2159</v>
      </c>
      <c r="L370" s="3">
        <v>1</v>
      </c>
      <c r="M370" s="2">
        <v>442.1</v>
      </c>
      <c r="N370" s="5">
        <v>0.05</v>
      </c>
      <c r="O370" s="2">
        <v>420</v>
      </c>
      <c r="P370" s="2">
        <v>138.81</v>
      </c>
      <c r="Q370" t="s">
        <v>2170</v>
      </c>
    </row>
    <row r="371" spans="1:17">
      <c r="A371" t="s">
        <v>386</v>
      </c>
      <c r="B371" s="1">
        <v>45747</v>
      </c>
      <c r="C371" t="s">
        <v>1732</v>
      </c>
      <c r="D371" t="s">
        <v>2030</v>
      </c>
      <c r="E371" t="s">
        <v>2115</v>
      </c>
      <c r="F371" t="s">
        <v>2118</v>
      </c>
      <c r="G371" t="s">
        <v>2122</v>
      </c>
      <c r="H371" t="s">
        <v>2133</v>
      </c>
      <c r="I371" t="s">
        <v>2144</v>
      </c>
      <c r="J371" t="s">
        <v>2152</v>
      </c>
      <c r="K371" t="s">
        <v>2162</v>
      </c>
      <c r="L371" s="3">
        <v>1</v>
      </c>
      <c r="M371" s="2">
        <v>352.52</v>
      </c>
      <c r="N371" s="5">
        <v>0.2</v>
      </c>
      <c r="O371" s="2">
        <v>282.02</v>
      </c>
      <c r="P371" s="2">
        <v>46.91</v>
      </c>
      <c r="Q371" t="s">
        <v>2168</v>
      </c>
    </row>
    <row r="372" spans="1:17">
      <c r="A372" t="s">
        <v>387</v>
      </c>
      <c r="B372" s="1">
        <v>45747</v>
      </c>
      <c r="C372" t="s">
        <v>1579</v>
      </c>
      <c r="D372" t="s">
        <v>1877</v>
      </c>
      <c r="E372" t="s">
        <v>2114</v>
      </c>
      <c r="F372" t="s">
        <v>2116</v>
      </c>
      <c r="G372" t="s">
        <v>2127</v>
      </c>
      <c r="H372" t="s">
        <v>2140</v>
      </c>
      <c r="I372" t="s">
        <v>2142</v>
      </c>
      <c r="J372" t="s">
        <v>2151</v>
      </c>
      <c r="K372" t="s">
        <v>2160</v>
      </c>
      <c r="L372" s="3">
        <v>3</v>
      </c>
      <c r="M372" s="2">
        <v>8450.09</v>
      </c>
      <c r="N372" s="5">
        <v>0.05</v>
      </c>
      <c r="O372" s="2">
        <v>24082.76</v>
      </c>
      <c r="P372" s="2">
        <v>2901.55</v>
      </c>
      <c r="Q372" t="s">
        <v>2168</v>
      </c>
    </row>
    <row r="373" spans="1:17">
      <c r="A373" t="s">
        <v>388</v>
      </c>
      <c r="B373" s="1">
        <v>45748</v>
      </c>
      <c r="C373" t="s">
        <v>1658</v>
      </c>
      <c r="D373" t="s">
        <v>1956</v>
      </c>
      <c r="E373" t="s">
        <v>2114</v>
      </c>
      <c r="F373" t="s">
        <v>2117</v>
      </c>
      <c r="G373" t="s">
        <v>2125</v>
      </c>
      <c r="H373" t="s">
        <v>2136</v>
      </c>
      <c r="I373" t="s">
        <v>2144</v>
      </c>
      <c r="J373" t="s">
        <v>2150</v>
      </c>
      <c r="K373" t="s">
        <v>2159</v>
      </c>
      <c r="L373" s="3">
        <v>2</v>
      </c>
      <c r="M373" s="2">
        <v>462.9</v>
      </c>
      <c r="N373" s="5">
        <v>0.05</v>
      </c>
      <c r="O373" s="2">
        <v>879.51</v>
      </c>
      <c r="P373" s="2">
        <v>191.79</v>
      </c>
      <c r="Q373" t="s">
        <v>2169</v>
      </c>
    </row>
    <row r="374" spans="1:17">
      <c r="A374" t="s">
        <v>389</v>
      </c>
      <c r="B374" s="1">
        <v>45748</v>
      </c>
      <c r="C374" t="s">
        <v>1733</v>
      </c>
      <c r="D374" t="s">
        <v>2031</v>
      </c>
      <c r="E374" t="s">
        <v>2113</v>
      </c>
      <c r="F374" t="s">
        <v>2116</v>
      </c>
      <c r="G374" t="s">
        <v>2127</v>
      </c>
      <c r="H374" t="s">
        <v>2140</v>
      </c>
      <c r="I374" t="s">
        <v>2144</v>
      </c>
      <c r="J374" t="s">
        <v>2152</v>
      </c>
      <c r="K374" t="s">
        <v>2162</v>
      </c>
      <c r="L374" s="3">
        <v>4</v>
      </c>
      <c r="M374" s="2">
        <v>358.38</v>
      </c>
      <c r="N374" s="5">
        <v>0.2</v>
      </c>
      <c r="O374" s="2">
        <v>1146.82</v>
      </c>
      <c r="P374" s="2">
        <v>130.58000000000001</v>
      </c>
      <c r="Q374" t="s">
        <v>2167</v>
      </c>
    </row>
    <row r="375" spans="1:17">
      <c r="A375" t="s">
        <v>390</v>
      </c>
      <c r="B375" s="1">
        <v>45748</v>
      </c>
      <c r="C375" t="s">
        <v>1639</v>
      </c>
      <c r="D375" t="s">
        <v>1937</v>
      </c>
      <c r="E375" t="s">
        <v>2114</v>
      </c>
      <c r="F375" t="s">
        <v>2118</v>
      </c>
      <c r="G375" t="s">
        <v>2126</v>
      </c>
      <c r="H375" t="s">
        <v>2137</v>
      </c>
      <c r="I375" t="s">
        <v>2142</v>
      </c>
      <c r="J375" t="s">
        <v>2145</v>
      </c>
      <c r="K375" t="s">
        <v>2165</v>
      </c>
      <c r="L375" s="3">
        <v>4</v>
      </c>
      <c r="M375" s="2">
        <v>6513.4</v>
      </c>
      <c r="N375" s="5">
        <v>0.05</v>
      </c>
      <c r="O375" s="2">
        <v>24750.92</v>
      </c>
      <c r="P375" s="2">
        <v>4099.1000000000004</v>
      </c>
      <c r="Q375" t="s">
        <v>2170</v>
      </c>
    </row>
    <row r="376" spans="1:17">
      <c r="A376" t="s">
        <v>391</v>
      </c>
      <c r="B376" s="1">
        <v>45749</v>
      </c>
      <c r="C376" t="s">
        <v>1734</v>
      </c>
      <c r="D376" t="s">
        <v>2032</v>
      </c>
      <c r="E376" t="s">
        <v>2114</v>
      </c>
      <c r="F376" t="s">
        <v>2117</v>
      </c>
      <c r="G376" t="s">
        <v>2121</v>
      </c>
      <c r="H376" t="s">
        <v>2132</v>
      </c>
      <c r="I376" t="s">
        <v>2144</v>
      </c>
      <c r="J376" t="s">
        <v>2152</v>
      </c>
      <c r="K376" t="s">
        <v>2162</v>
      </c>
      <c r="L376" s="3">
        <v>2</v>
      </c>
      <c r="M376" s="2">
        <v>335.67</v>
      </c>
      <c r="N376" s="5">
        <v>0.1</v>
      </c>
      <c r="O376" s="2">
        <v>604.21</v>
      </c>
      <c r="P376" s="2">
        <v>140.74</v>
      </c>
      <c r="Q376" t="s">
        <v>2169</v>
      </c>
    </row>
    <row r="377" spans="1:17">
      <c r="A377" t="s">
        <v>392</v>
      </c>
      <c r="B377" s="1">
        <v>45749</v>
      </c>
      <c r="C377" t="s">
        <v>1650</v>
      </c>
      <c r="D377" t="s">
        <v>1948</v>
      </c>
      <c r="E377" t="s">
        <v>2114</v>
      </c>
      <c r="F377" t="s">
        <v>2119</v>
      </c>
      <c r="G377" t="s">
        <v>2129</v>
      </c>
      <c r="H377" t="s">
        <v>2139</v>
      </c>
      <c r="I377" t="s">
        <v>2143</v>
      </c>
      <c r="J377" t="s">
        <v>2149</v>
      </c>
      <c r="K377" t="s">
        <v>2158</v>
      </c>
      <c r="L377" s="3">
        <v>3</v>
      </c>
      <c r="M377" s="2">
        <v>47724.22</v>
      </c>
      <c r="N377" s="5">
        <v>0.05</v>
      </c>
      <c r="O377" s="2">
        <v>136014.03</v>
      </c>
      <c r="P377" s="2">
        <v>20973.58</v>
      </c>
      <c r="Q377" t="s">
        <v>2169</v>
      </c>
    </row>
    <row r="378" spans="1:17">
      <c r="A378" t="s">
        <v>393</v>
      </c>
      <c r="B378" s="1">
        <v>45749</v>
      </c>
      <c r="C378" t="s">
        <v>1735</v>
      </c>
      <c r="D378" t="s">
        <v>2033</v>
      </c>
      <c r="E378" t="s">
        <v>2114</v>
      </c>
      <c r="F378" t="s">
        <v>2116</v>
      </c>
      <c r="G378" t="s">
        <v>2127</v>
      </c>
      <c r="H378" t="s">
        <v>2140</v>
      </c>
      <c r="I378" t="s">
        <v>2143</v>
      </c>
      <c r="J378" t="s">
        <v>2146</v>
      </c>
      <c r="K378" t="s">
        <v>2164</v>
      </c>
      <c r="L378" s="3">
        <v>1</v>
      </c>
      <c r="M378" s="2">
        <v>18691.330000000002</v>
      </c>
      <c r="N378" s="5">
        <v>0.2</v>
      </c>
      <c r="O378" s="2">
        <v>14953.06</v>
      </c>
      <c r="P378" s="2">
        <v>18.95</v>
      </c>
      <c r="Q378" t="s">
        <v>2167</v>
      </c>
    </row>
    <row r="379" spans="1:17">
      <c r="A379" t="s">
        <v>394</v>
      </c>
      <c r="B379" s="1">
        <v>45749</v>
      </c>
      <c r="C379" t="s">
        <v>1597</v>
      </c>
      <c r="D379" t="s">
        <v>1895</v>
      </c>
      <c r="E379" t="s">
        <v>2113</v>
      </c>
      <c r="F379" t="s">
        <v>2116</v>
      </c>
      <c r="G379" t="s">
        <v>2127</v>
      </c>
      <c r="H379" t="s">
        <v>2140</v>
      </c>
      <c r="I379" t="s">
        <v>2144</v>
      </c>
      <c r="J379" t="s">
        <v>2147</v>
      </c>
      <c r="K379" t="s">
        <v>2155</v>
      </c>
      <c r="L379" s="3">
        <v>3</v>
      </c>
      <c r="M379" s="2">
        <v>728.04</v>
      </c>
      <c r="N379" s="5">
        <v>0</v>
      </c>
      <c r="O379" s="2">
        <v>2184.12</v>
      </c>
      <c r="P379" s="2">
        <v>639.17999999999995</v>
      </c>
      <c r="Q379" t="s">
        <v>2167</v>
      </c>
    </row>
    <row r="380" spans="1:17">
      <c r="A380" t="s">
        <v>395</v>
      </c>
      <c r="B380" s="1">
        <v>45749</v>
      </c>
      <c r="C380" t="s">
        <v>1537</v>
      </c>
      <c r="D380" t="s">
        <v>1835</v>
      </c>
      <c r="E380" t="s">
        <v>2114</v>
      </c>
      <c r="F380" t="s">
        <v>2119</v>
      </c>
      <c r="G380" t="s">
        <v>2129</v>
      </c>
      <c r="H380" t="s">
        <v>2139</v>
      </c>
      <c r="I380" t="s">
        <v>2142</v>
      </c>
      <c r="J380" t="s">
        <v>2145</v>
      </c>
      <c r="K380" t="s">
        <v>2165</v>
      </c>
      <c r="L380" s="3">
        <v>4</v>
      </c>
      <c r="M380" s="2">
        <v>6342.17</v>
      </c>
      <c r="N380" s="5">
        <v>0.1</v>
      </c>
      <c r="O380" s="2">
        <v>22831.81</v>
      </c>
      <c r="P380" s="2">
        <v>4267.8999999999996</v>
      </c>
      <c r="Q380" t="s">
        <v>2167</v>
      </c>
    </row>
    <row r="381" spans="1:17">
      <c r="A381" t="s">
        <v>396</v>
      </c>
      <c r="B381" s="1">
        <v>45750</v>
      </c>
      <c r="C381" t="s">
        <v>1635</v>
      </c>
      <c r="D381" t="s">
        <v>1933</v>
      </c>
      <c r="E381" t="s">
        <v>2115</v>
      </c>
      <c r="F381" t="s">
        <v>2117</v>
      </c>
      <c r="G381" t="s">
        <v>2123</v>
      </c>
      <c r="H381" t="s">
        <v>2134</v>
      </c>
      <c r="I381" t="s">
        <v>2143</v>
      </c>
      <c r="J381" t="s">
        <v>2148</v>
      </c>
      <c r="K381" t="s">
        <v>2156</v>
      </c>
      <c r="L381" s="3">
        <v>5</v>
      </c>
      <c r="M381" s="2">
        <v>1183.72</v>
      </c>
      <c r="N381" s="5">
        <v>0.1</v>
      </c>
      <c r="O381" s="2">
        <v>5326.74</v>
      </c>
      <c r="P381" s="2">
        <v>984.56</v>
      </c>
      <c r="Q381" t="s">
        <v>2170</v>
      </c>
    </row>
    <row r="382" spans="1:17">
      <c r="A382" t="s">
        <v>397</v>
      </c>
      <c r="B382" s="1">
        <v>45750</v>
      </c>
      <c r="C382" t="s">
        <v>1576</v>
      </c>
      <c r="D382" t="s">
        <v>1874</v>
      </c>
      <c r="E382" t="s">
        <v>2113</v>
      </c>
      <c r="F382" t="s">
        <v>2117</v>
      </c>
      <c r="G382" t="s">
        <v>2123</v>
      </c>
      <c r="H382" t="s">
        <v>2134</v>
      </c>
      <c r="I382" t="s">
        <v>2143</v>
      </c>
      <c r="J382" t="s">
        <v>2148</v>
      </c>
      <c r="K382" t="s">
        <v>2161</v>
      </c>
      <c r="L382" s="3">
        <v>3</v>
      </c>
      <c r="M382" s="2">
        <v>1711.53</v>
      </c>
      <c r="N382" s="5">
        <v>0.15</v>
      </c>
      <c r="O382" s="2">
        <v>4364.3999999999996</v>
      </c>
      <c r="P382" s="2">
        <v>280.7</v>
      </c>
      <c r="Q382" t="s">
        <v>2167</v>
      </c>
    </row>
    <row r="383" spans="1:17">
      <c r="A383" t="s">
        <v>398</v>
      </c>
      <c r="B383" s="1">
        <v>45750</v>
      </c>
      <c r="C383" t="s">
        <v>1736</v>
      </c>
      <c r="D383" t="s">
        <v>2034</v>
      </c>
      <c r="E383" t="s">
        <v>2113</v>
      </c>
      <c r="F383" t="s">
        <v>2116</v>
      </c>
      <c r="G383" t="s">
        <v>2120</v>
      </c>
      <c r="H383" t="s">
        <v>2131</v>
      </c>
      <c r="I383" t="s">
        <v>2143</v>
      </c>
      <c r="J383" t="s">
        <v>2149</v>
      </c>
      <c r="K383" t="s">
        <v>2163</v>
      </c>
      <c r="L383" s="3">
        <v>2</v>
      </c>
      <c r="M383" s="2">
        <v>63073.84</v>
      </c>
      <c r="N383" s="5">
        <v>0.15</v>
      </c>
      <c r="O383" s="2">
        <v>107225.53</v>
      </c>
      <c r="P383" s="2">
        <v>9688.5300000000007</v>
      </c>
      <c r="Q383" t="s">
        <v>2170</v>
      </c>
    </row>
    <row r="384" spans="1:17">
      <c r="A384" t="s">
        <v>399</v>
      </c>
      <c r="B384" s="1">
        <v>45750</v>
      </c>
      <c r="C384" t="s">
        <v>1584</v>
      </c>
      <c r="D384" t="s">
        <v>1882</v>
      </c>
      <c r="E384" t="s">
        <v>2114</v>
      </c>
      <c r="F384" t="s">
        <v>2117</v>
      </c>
      <c r="G384" t="s">
        <v>2121</v>
      </c>
      <c r="H384" t="s">
        <v>2132</v>
      </c>
      <c r="I384" t="s">
        <v>2142</v>
      </c>
      <c r="J384" t="s">
        <v>2145</v>
      </c>
      <c r="K384" t="s">
        <v>2165</v>
      </c>
      <c r="L384" s="3">
        <v>2</v>
      </c>
      <c r="M384" s="2">
        <v>6266.02</v>
      </c>
      <c r="N384" s="5">
        <v>0</v>
      </c>
      <c r="O384" s="2">
        <v>12532.04</v>
      </c>
      <c r="P384" s="2">
        <v>2058.89</v>
      </c>
      <c r="Q384" t="s">
        <v>2167</v>
      </c>
    </row>
    <row r="385" spans="1:17">
      <c r="A385" t="s">
        <v>400</v>
      </c>
      <c r="B385" s="1">
        <v>45750</v>
      </c>
      <c r="C385" t="s">
        <v>1737</v>
      </c>
      <c r="D385" t="s">
        <v>2035</v>
      </c>
      <c r="E385" t="s">
        <v>2114</v>
      </c>
      <c r="F385" t="s">
        <v>2118</v>
      </c>
      <c r="G385" t="s">
        <v>2122</v>
      </c>
      <c r="H385" t="s">
        <v>2133</v>
      </c>
      <c r="I385" t="s">
        <v>2142</v>
      </c>
      <c r="J385" t="s">
        <v>2151</v>
      </c>
      <c r="K385" t="s">
        <v>2160</v>
      </c>
      <c r="L385" s="3">
        <v>1</v>
      </c>
      <c r="M385" s="2">
        <v>8380.31</v>
      </c>
      <c r="N385" s="5">
        <v>0.15</v>
      </c>
      <c r="O385" s="2">
        <v>7123.26</v>
      </c>
      <c r="P385" s="2">
        <v>1389.7</v>
      </c>
      <c r="Q385" t="s">
        <v>2170</v>
      </c>
    </row>
    <row r="386" spans="1:17">
      <c r="A386" t="s">
        <v>401</v>
      </c>
      <c r="B386" s="1">
        <v>45751</v>
      </c>
      <c r="C386" t="s">
        <v>1649</v>
      </c>
      <c r="D386" t="s">
        <v>1947</v>
      </c>
      <c r="E386" t="s">
        <v>2115</v>
      </c>
      <c r="F386" t="s">
        <v>2118</v>
      </c>
      <c r="G386" t="s">
        <v>2122</v>
      </c>
      <c r="H386" t="s">
        <v>2133</v>
      </c>
      <c r="I386" t="s">
        <v>2142</v>
      </c>
      <c r="J386" t="s">
        <v>2145</v>
      </c>
      <c r="K386" t="s">
        <v>2153</v>
      </c>
      <c r="L386" s="3">
        <v>1</v>
      </c>
      <c r="M386" s="2">
        <v>12563.36</v>
      </c>
      <c r="N386" s="5">
        <v>0.05</v>
      </c>
      <c r="O386" s="2">
        <v>11935.19</v>
      </c>
      <c r="P386" s="2">
        <v>2903.45</v>
      </c>
      <c r="Q386" t="s">
        <v>2170</v>
      </c>
    </row>
    <row r="387" spans="1:17">
      <c r="A387" t="s">
        <v>402</v>
      </c>
      <c r="B387" s="1">
        <v>45751</v>
      </c>
      <c r="C387" t="s">
        <v>1738</v>
      </c>
      <c r="D387" t="s">
        <v>2036</v>
      </c>
      <c r="E387" t="s">
        <v>2114</v>
      </c>
      <c r="F387" t="s">
        <v>2117</v>
      </c>
      <c r="G387" t="s">
        <v>2123</v>
      </c>
      <c r="H387" t="s">
        <v>2134</v>
      </c>
      <c r="I387" t="s">
        <v>2144</v>
      </c>
      <c r="J387" t="s">
        <v>2152</v>
      </c>
      <c r="K387" t="s">
        <v>2166</v>
      </c>
      <c r="L387" s="3">
        <v>5</v>
      </c>
      <c r="M387" s="2">
        <v>579.70000000000005</v>
      </c>
      <c r="N387" s="5">
        <v>0.15</v>
      </c>
      <c r="O387" s="2">
        <v>2463.7199999999998</v>
      </c>
      <c r="P387" s="2">
        <v>501.23</v>
      </c>
      <c r="Q387" t="s">
        <v>2167</v>
      </c>
    </row>
    <row r="388" spans="1:17">
      <c r="A388" t="s">
        <v>403</v>
      </c>
      <c r="B388" s="1">
        <v>45752</v>
      </c>
      <c r="C388" t="s">
        <v>1739</v>
      </c>
      <c r="D388" t="s">
        <v>2037</v>
      </c>
      <c r="E388" t="s">
        <v>2113</v>
      </c>
      <c r="F388" t="s">
        <v>2116</v>
      </c>
      <c r="G388" t="s">
        <v>2127</v>
      </c>
      <c r="H388" t="s">
        <v>2138</v>
      </c>
      <c r="I388" t="s">
        <v>2144</v>
      </c>
      <c r="J388" t="s">
        <v>2147</v>
      </c>
      <c r="K388" t="s">
        <v>2155</v>
      </c>
      <c r="L388" s="3">
        <v>2</v>
      </c>
      <c r="M388" s="2">
        <v>784.62</v>
      </c>
      <c r="N388" s="5">
        <v>0</v>
      </c>
      <c r="O388" s="2">
        <v>1569.24</v>
      </c>
      <c r="P388" s="2">
        <v>395.91</v>
      </c>
      <c r="Q388" t="s">
        <v>2169</v>
      </c>
    </row>
    <row r="389" spans="1:17">
      <c r="A389" t="s">
        <v>404</v>
      </c>
      <c r="B389" s="1">
        <v>45752</v>
      </c>
      <c r="C389" t="s">
        <v>1561</v>
      </c>
      <c r="D389" t="s">
        <v>1859</v>
      </c>
      <c r="E389" t="s">
        <v>2114</v>
      </c>
      <c r="F389" t="s">
        <v>2117</v>
      </c>
      <c r="G389" t="s">
        <v>2121</v>
      </c>
      <c r="H389" t="s">
        <v>2132</v>
      </c>
      <c r="I389" t="s">
        <v>2142</v>
      </c>
      <c r="J389" t="s">
        <v>2145</v>
      </c>
      <c r="K389" t="s">
        <v>2153</v>
      </c>
      <c r="L389" s="3">
        <v>4</v>
      </c>
      <c r="M389" s="2">
        <v>12062.14</v>
      </c>
      <c r="N389" s="5">
        <v>0</v>
      </c>
      <c r="O389" s="2">
        <v>48248.56</v>
      </c>
      <c r="P389" s="2">
        <v>7905.46</v>
      </c>
      <c r="Q389" t="s">
        <v>2169</v>
      </c>
    </row>
    <row r="390" spans="1:17">
      <c r="A390" t="s">
        <v>405</v>
      </c>
      <c r="B390" s="1">
        <v>45752</v>
      </c>
      <c r="C390" t="s">
        <v>1740</v>
      </c>
      <c r="D390" t="s">
        <v>2038</v>
      </c>
      <c r="E390" t="s">
        <v>2113</v>
      </c>
      <c r="F390" t="s">
        <v>2118</v>
      </c>
      <c r="G390" t="s">
        <v>2122</v>
      </c>
      <c r="H390" t="s">
        <v>2133</v>
      </c>
      <c r="I390" t="s">
        <v>2143</v>
      </c>
      <c r="J390" t="s">
        <v>2146</v>
      </c>
      <c r="K390" t="s">
        <v>2164</v>
      </c>
      <c r="L390" s="3">
        <v>2</v>
      </c>
      <c r="M390" s="2">
        <v>18509.919999999998</v>
      </c>
      <c r="N390" s="5">
        <v>0.05</v>
      </c>
      <c r="O390" s="2">
        <v>35168.85</v>
      </c>
      <c r="P390" s="2">
        <v>7322.39</v>
      </c>
      <c r="Q390" t="s">
        <v>2167</v>
      </c>
    </row>
    <row r="391" spans="1:17">
      <c r="A391" t="s">
        <v>406</v>
      </c>
      <c r="B391" s="1">
        <v>45752</v>
      </c>
      <c r="C391" t="s">
        <v>1741</v>
      </c>
      <c r="D391" t="s">
        <v>2039</v>
      </c>
      <c r="E391" t="s">
        <v>2114</v>
      </c>
      <c r="F391" t="s">
        <v>2119</v>
      </c>
      <c r="G391" t="s">
        <v>2124</v>
      </c>
      <c r="H391" t="s">
        <v>2135</v>
      </c>
      <c r="I391" t="s">
        <v>2143</v>
      </c>
      <c r="J391" t="s">
        <v>2146</v>
      </c>
      <c r="K391" t="s">
        <v>2154</v>
      </c>
      <c r="L391" s="3">
        <v>2</v>
      </c>
      <c r="M391" s="2">
        <v>41521.629999999997</v>
      </c>
      <c r="N391" s="5">
        <v>0.2</v>
      </c>
      <c r="O391" s="2">
        <v>66434.61</v>
      </c>
      <c r="P391" s="2">
        <v>8313.4599999999991</v>
      </c>
      <c r="Q391" t="s">
        <v>2169</v>
      </c>
    </row>
    <row r="392" spans="1:17">
      <c r="A392" t="s">
        <v>407</v>
      </c>
      <c r="B392" s="1">
        <v>45752</v>
      </c>
      <c r="C392" t="s">
        <v>1687</v>
      </c>
      <c r="D392" t="s">
        <v>1985</v>
      </c>
      <c r="E392" t="s">
        <v>2114</v>
      </c>
      <c r="F392" t="s">
        <v>2118</v>
      </c>
      <c r="G392" t="s">
        <v>2128</v>
      </c>
      <c r="H392" t="s">
        <v>2128</v>
      </c>
      <c r="I392" t="s">
        <v>2144</v>
      </c>
      <c r="J392" t="s">
        <v>2152</v>
      </c>
      <c r="K392" t="s">
        <v>2162</v>
      </c>
      <c r="L392" s="3">
        <v>2</v>
      </c>
      <c r="M392" s="2">
        <v>336.67</v>
      </c>
      <c r="N392" s="5">
        <v>0.1</v>
      </c>
      <c r="O392" s="2">
        <v>606.01</v>
      </c>
      <c r="P392" s="2">
        <v>195.66</v>
      </c>
      <c r="Q392" t="s">
        <v>2170</v>
      </c>
    </row>
    <row r="393" spans="1:17">
      <c r="A393" t="s">
        <v>408</v>
      </c>
      <c r="B393" s="1">
        <v>45753</v>
      </c>
      <c r="C393" t="s">
        <v>1742</v>
      </c>
      <c r="D393" t="s">
        <v>2040</v>
      </c>
      <c r="E393" t="s">
        <v>2115</v>
      </c>
      <c r="F393" t="s">
        <v>2116</v>
      </c>
      <c r="G393" t="s">
        <v>2127</v>
      </c>
      <c r="H393" t="s">
        <v>2138</v>
      </c>
      <c r="I393" t="s">
        <v>2144</v>
      </c>
      <c r="J393" t="s">
        <v>2150</v>
      </c>
      <c r="K393" t="s">
        <v>2159</v>
      </c>
      <c r="L393" s="3">
        <v>1</v>
      </c>
      <c r="M393" s="2">
        <v>453.05</v>
      </c>
      <c r="N393" s="5">
        <v>0.1</v>
      </c>
      <c r="O393" s="2">
        <v>407.75</v>
      </c>
      <c r="P393" s="2">
        <v>133.97999999999999</v>
      </c>
      <c r="Q393" t="s">
        <v>2167</v>
      </c>
    </row>
    <row r="394" spans="1:17">
      <c r="A394" t="s">
        <v>409</v>
      </c>
      <c r="B394" s="1">
        <v>45753</v>
      </c>
      <c r="C394" t="s">
        <v>1573</v>
      </c>
      <c r="D394" t="s">
        <v>1871</v>
      </c>
      <c r="E394" t="s">
        <v>2114</v>
      </c>
      <c r="F394" t="s">
        <v>2118</v>
      </c>
      <c r="G394" t="s">
        <v>2122</v>
      </c>
      <c r="H394" t="s">
        <v>2133</v>
      </c>
      <c r="I394" t="s">
        <v>2142</v>
      </c>
      <c r="J394" t="s">
        <v>2147</v>
      </c>
      <c r="K394" t="s">
        <v>2157</v>
      </c>
      <c r="L394" s="3">
        <v>5</v>
      </c>
      <c r="M394" s="2">
        <v>13994</v>
      </c>
      <c r="N394" s="5">
        <v>0.1</v>
      </c>
      <c r="O394" s="2">
        <v>62973</v>
      </c>
      <c r="P394" s="2">
        <v>8805.2000000000007</v>
      </c>
      <c r="Q394" t="s">
        <v>2168</v>
      </c>
    </row>
    <row r="395" spans="1:17">
      <c r="A395" t="s">
        <v>410</v>
      </c>
      <c r="B395" s="1">
        <v>45754</v>
      </c>
      <c r="C395" t="s">
        <v>1743</v>
      </c>
      <c r="D395" t="s">
        <v>2041</v>
      </c>
      <c r="E395" t="s">
        <v>2113</v>
      </c>
      <c r="F395" t="s">
        <v>2116</v>
      </c>
      <c r="G395" t="s">
        <v>2127</v>
      </c>
      <c r="H395" t="s">
        <v>2138</v>
      </c>
      <c r="I395" t="s">
        <v>2143</v>
      </c>
      <c r="J395" t="s">
        <v>2149</v>
      </c>
      <c r="K395" t="s">
        <v>2158</v>
      </c>
      <c r="L395" s="3">
        <v>1</v>
      </c>
      <c r="M395" s="2">
        <v>47589.35</v>
      </c>
      <c r="N395" s="5">
        <v>0.05</v>
      </c>
      <c r="O395" s="2">
        <v>45209.88</v>
      </c>
      <c r="P395" s="2">
        <v>3544.45</v>
      </c>
      <c r="Q395" t="s">
        <v>2169</v>
      </c>
    </row>
    <row r="396" spans="1:17">
      <c r="A396" t="s">
        <v>411</v>
      </c>
      <c r="B396" s="1">
        <v>45754</v>
      </c>
      <c r="C396" t="s">
        <v>1729</v>
      </c>
      <c r="D396" t="s">
        <v>2027</v>
      </c>
      <c r="E396" t="s">
        <v>2115</v>
      </c>
      <c r="F396" t="s">
        <v>2116</v>
      </c>
      <c r="G396" t="s">
        <v>2120</v>
      </c>
      <c r="H396" t="s">
        <v>2131</v>
      </c>
      <c r="I396" t="s">
        <v>2144</v>
      </c>
      <c r="J396" t="s">
        <v>2150</v>
      </c>
      <c r="K396" t="s">
        <v>2159</v>
      </c>
      <c r="L396" s="3">
        <v>1</v>
      </c>
      <c r="M396" s="2">
        <v>458.53</v>
      </c>
      <c r="N396" s="5">
        <v>0.1</v>
      </c>
      <c r="O396" s="2">
        <v>412.68</v>
      </c>
      <c r="P396" s="2">
        <v>111.23</v>
      </c>
      <c r="Q396" t="s">
        <v>2168</v>
      </c>
    </row>
    <row r="397" spans="1:17">
      <c r="A397" t="s">
        <v>412</v>
      </c>
      <c r="B397" s="1">
        <v>45754</v>
      </c>
      <c r="C397" t="s">
        <v>1543</v>
      </c>
      <c r="D397" t="s">
        <v>1841</v>
      </c>
      <c r="E397" t="s">
        <v>2113</v>
      </c>
      <c r="F397" t="s">
        <v>2119</v>
      </c>
      <c r="G397" t="s">
        <v>2124</v>
      </c>
      <c r="H397" t="s">
        <v>2135</v>
      </c>
      <c r="I397" t="s">
        <v>2142</v>
      </c>
      <c r="J397" t="s">
        <v>2145</v>
      </c>
      <c r="K397" t="s">
        <v>2153</v>
      </c>
      <c r="L397" s="3">
        <v>4</v>
      </c>
      <c r="M397" s="2">
        <v>12227.48</v>
      </c>
      <c r="N397" s="5">
        <v>0</v>
      </c>
      <c r="O397" s="2">
        <v>48909.919999999998</v>
      </c>
      <c r="P397" s="2">
        <v>9068.6299999999992</v>
      </c>
      <c r="Q397" t="s">
        <v>2167</v>
      </c>
    </row>
    <row r="398" spans="1:17">
      <c r="A398" t="s">
        <v>413</v>
      </c>
      <c r="B398" s="1">
        <v>45754</v>
      </c>
      <c r="C398" t="s">
        <v>1659</v>
      </c>
      <c r="D398" t="s">
        <v>1957</v>
      </c>
      <c r="E398" t="s">
        <v>2114</v>
      </c>
      <c r="F398" t="s">
        <v>2118</v>
      </c>
      <c r="G398" t="s">
        <v>2126</v>
      </c>
      <c r="H398" t="s">
        <v>2137</v>
      </c>
      <c r="I398" t="s">
        <v>2144</v>
      </c>
      <c r="J398" t="s">
        <v>2150</v>
      </c>
      <c r="K398" t="s">
        <v>2159</v>
      </c>
      <c r="L398" s="3">
        <v>4</v>
      </c>
      <c r="M398" s="2">
        <v>439.61</v>
      </c>
      <c r="N398" s="5">
        <v>0.1</v>
      </c>
      <c r="O398" s="2">
        <v>1582.6</v>
      </c>
      <c r="P398" s="2">
        <v>403.01</v>
      </c>
      <c r="Q398" t="s">
        <v>2169</v>
      </c>
    </row>
    <row r="399" spans="1:17">
      <c r="A399" t="s">
        <v>414</v>
      </c>
      <c r="B399" s="1">
        <v>45755</v>
      </c>
      <c r="C399" t="s">
        <v>1744</v>
      </c>
      <c r="D399" t="s">
        <v>2042</v>
      </c>
      <c r="E399" t="s">
        <v>2114</v>
      </c>
      <c r="F399" t="s">
        <v>2118</v>
      </c>
      <c r="G399" t="s">
        <v>2122</v>
      </c>
      <c r="H399" t="s">
        <v>2133</v>
      </c>
      <c r="I399" t="s">
        <v>2144</v>
      </c>
      <c r="J399" t="s">
        <v>2150</v>
      </c>
      <c r="K399" t="s">
        <v>2159</v>
      </c>
      <c r="L399" s="3">
        <v>1</v>
      </c>
      <c r="M399" s="2">
        <v>459.86</v>
      </c>
      <c r="N399" s="5">
        <v>0.05</v>
      </c>
      <c r="O399" s="2">
        <v>436.87</v>
      </c>
      <c r="P399" s="2">
        <v>86.21</v>
      </c>
      <c r="Q399" t="s">
        <v>2168</v>
      </c>
    </row>
    <row r="400" spans="1:17">
      <c r="A400" t="s">
        <v>415</v>
      </c>
      <c r="B400" s="1">
        <v>45755</v>
      </c>
      <c r="C400" t="s">
        <v>1702</v>
      </c>
      <c r="D400" t="s">
        <v>2000</v>
      </c>
      <c r="E400" t="s">
        <v>2115</v>
      </c>
      <c r="F400" t="s">
        <v>2119</v>
      </c>
      <c r="G400" t="s">
        <v>2130</v>
      </c>
      <c r="H400" t="s">
        <v>2141</v>
      </c>
      <c r="I400" t="s">
        <v>2143</v>
      </c>
      <c r="J400" t="s">
        <v>2146</v>
      </c>
      <c r="K400" t="s">
        <v>2164</v>
      </c>
      <c r="L400" s="3">
        <v>2</v>
      </c>
      <c r="M400" s="2">
        <v>17446.95</v>
      </c>
      <c r="N400" s="5">
        <v>0.1</v>
      </c>
      <c r="O400" s="2">
        <v>31404.51</v>
      </c>
      <c r="P400" s="2">
        <v>5011.09</v>
      </c>
      <c r="Q400" t="s">
        <v>2169</v>
      </c>
    </row>
    <row r="401" spans="1:17">
      <c r="A401" t="s">
        <v>416</v>
      </c>
      <c r="B401" s="1">
        <v>45755</v>
      </c>
      <c r="C401" t="s">
        <v>1623</v>
      </c>
      <c r="D401" t="s">
        <v>1921</v>
      </c>
      <c r="E401" t="s">
        <v>2114</v>
      </c>
      <c r="F401" t="s">
        <v>2117</v>
      </c>
      <c r="G401" t="s">
        <v>2125</v>
      </c>
      <c r="H401" t="s">
        <v>2136</v>
      </c>
      <c r="I401" t="s">
        <v>2144</v>
      </c>
      <c r="J401" t="s">
        <v>2152</v>
      </c>
      <c r="K401" t="s">
        <v>2166</v>
      </c>
      <c r="L401" s="3">
        <v>1</v>
      </c>
      <c r="M401" s="2">
        <v>576.4</v>
      </c>
      <c r="N401" s="5">
        <v>0.05</v>
      </c>
      <c r="O401" s="2">
        <v>547.58000000000004</v>
      </c>
      <c r="P401" s="2">
        <v>116.23</v>
      </c>
      <c r="Q401" t="s">
        <v>2167</v>
      </c>
    </row>
    <row r="402" spans="1:17">
      <c r="A402" t="s">
        <v>417</v>
      </c>
      <c r="B402" s="1">
        <v>45757</v>
      </c>
      <c r="C402" t="s">
        <v>1570</v>
      </c>
      <c r="D402" t="s">
        <v>1868</v>
      </c>
      <c r="E402" t="s">
        <v>2115</v>
      </c>
      <c r="F402" t="s">
        <v>2117</v>
      </c>
      <c r="G402" t="s">
        <v>2123</v>
      </c>
      <c r="H402" t="s">
        <v>2134</v>
      </c>
      <c r="I402" t="s">
        <v>2143</v>
      </c>
      <c r="J402" t="s">
        <v>2148</v>
      </c>
      <c r="K402" t="s">
        <v>2156</v>
      </c>
      <c r="L402" s="3">
        <v>1</v>
      </c>
      <c r="M402" s="2">
        <v>1242.44</v>
      </c>
      <c r="N402" s="5">
        <v>0.1</v>
      </c>
      <c r="O402" s="2">
        <v>1118.2</v>
      </c>
      <c r="P402" s="2">
        <v>91.65</v>
      </c>
      <c r="Q402" t="s">
        <v>2169</v>
      </c>
    </row>
    <row r="403" spans="1:17">
      <c r="A403" t="s">
        <v>418</v>
      </c>
      <c r="B403" s="1">
        <v>45757</v>
      </c>
      <c r="C403" t="s">
        <v>1643</v>
      </c>
      <c r="D403" t="s">
        <v>1941</v>
      </c>
      <c r="E403" t="s">
        <v>2114</v>
      </c>
      <c r="F403" t="s">
        <v>2119</v>
      </c>
      <c r="G403" t="s">
        <v>2129</v>
      </c>
      <c r="H403" t="s">
        <v>2139</v>
      </c>
      <c r="I403" t="s">
        <v>2144</v>
      </c>
      <c r="J403" t="s">
        <v>2152</v>
      </c>
      <c r="K403" t="s">
        <v>2162</v>
      </c>
      <c r="L403" s="3">
        <v>2</v>
      </c>
      <c r="M403" s="2">
        <v>333.67</v>
      </c>
      <c r="N403" s="5">
        <v>0</v>
      </c>
      <c r="O403" s="2">
        <v>667.34</v>
      </c>
      <c r="P403" s="2">
        <v>164.56</v>
      </c>
      <c r="Q403" t="s">
        <v>2169</v>
      </c>
    </row>
    <row r="404" spans="1:17">
      <c r="A404" t="s">
        <v>419</v>
      </c>
      <c r="B404" s="1">
        <v>45757</v>
      </c>
      <c r="C404" t="s">
        <v>1627</v>
      </c>
      <c r="D404" t="s">
        <v>1925</v>
      </c>
      <c r="E404" t="s">
        <v>2113</v>
      </c>
      <c r="F404" t="s">
        <v>2117</v>
      </c>
      <c r="G404" t="s">
        <v>2123</v>
      </c>
      <c r="H404" t="s">
        <v>2134</v>
      </c>
      <c r="I404" t="s">
        <v>2143</v>
      </c>
      <c r="J404" t="s">
        <v>2146</v>
      </c>
      <c r="K404" t="s">
        <v>2154</v>
      </c>
      <c r="L404" s="3">
        <v>3</v>
      </c>
      <c r="M404" s="2">
        <v>43507.62</v>
      </c>
      <c r="N404" s="5">
        <v>0</v>
      </c>
      <c r="O404" s="2">
        <v>130522.86</v>
      </c>
      <c r="P404" s="2">
        <v>13841.06</v>
      </c>
      <c r="Q404" t="s">
        <v>2168</v>
      </c>
    </row>
    <row r="405" spans="1:17">
      <c r="A405" t="s">
        <v>420</v>
      </c>
      <c r="B405" s="1">
        <v>45757</v>
      </c>
      <c r="C405" t="s">
        <v>1532</v>
      </c>
      <c r="D405" t="s">
        <v>1830</v>
      </c>
      <c r="E405" t="s">
        <v>2113</v>
      </c>
      <c r="F405" t="s">
        <v>2117</v>
      </c>
      <c r="G405" t="s">
        <v>2125</v>
      </c>
      <c r="H405" t="s">
        <v>2136</v>
      </c>
      <c r="I405" t="s">
        <v>2143</v>
      </c>
      <c r="J405" t="s">
        <v>2149</v>
      </c>
      <c r="K405" t="s">
        <v>2158</v>
      </c>
      <c r="L405" s="3">
        <v>2</v>
      </c>
      <c r="M405" s="2">
        <v>47763.3</v>
      </c>
      <c r="N405" s="5">
        <v>0.1</v>
      </c>
      <c r="O405" s="2">
        <v>85973.94</v>
      </c>
      <c r="P405" s="2">
        <v>12853.01</v>
      </c>
      <c r="Q405" t="s">
        <v>2168</v>
      </c>
    </row>
    <row r="406" spans="1:17">
      <c r="A406" t="s">
        <v>421</v>
      </c>
      <c r="B406" s="1">
        <v>45758</v>
      </c>
      <c r="C406" t="s">
        <v>1520</v>
      </c>
      <c r="D406" t="s">
        <v>1818</v>
      </c>
      <c r="E406" t="s">
        <v>2114</v>
      </c>
      <c r="F406" t="s">
        <v>2117</v>
      </c>
      <c r="G406" t="s">
        <v>2125</v>
      </c>
      <c r="H406" t="s">
        <v>2136</v>
      </c>
      <c r="I406" t="s">
        <v>2143</v>
      </c>
      <c r="J406" t="s">
        <v>2146</v>
      </c>
      <c r="K406" t="s">
        <v>2164</v>
      </c>
      <c r="L406" s="3">
        <v>2</v>
      </c>
      <c r="M406" s="2">
        <v>18754.91</v>
      </c>
      <c r="N406" s="5">
        <v>0.1</v>
      </c>
      <c r="O406" s="2">
        <v>33758.839999999997</v>
      </c>
      <c r="P406" s="2">
        <v>3874.53</v>
      </c>
      <c r="Q406" t="s">
        <v>2170</v>
      </c>
    </row>
    <row r="407" spans="1:17">
      <c r="A407" t="s">
        <v>422</v>
      </c>
      <c r="B407" s="1">
        <v>45758</v>
      </c>
      <c r="C407" t="s">
        <v>1655</v>
      </c>
      <c r="D407" t="s">
        <v>1953</v>
      </c>
      <c r="E407" t="s">
        <v>2115</v>
      </c>
      <c r="F407" t="s">
        <v>2119</v>
      </c>
      <c r="G407" t="s">
        <v>2124</v>
      </c>
      <c r="H407" t="s">
        <v>2135</v>
      </c>
      <c r="I407" t="s">
        <v>2142</v>
      </c>
      <c r="J407" t="s">
        <v>2147</v>
      </c>
      <c r="K407" t="s">
        <v>2157</v>
      </c>
      <c r="L407" s="3">
        <v>2</v>
      </c>
      <c r="M407" s="2">
        <v>13990.89</v>
      </c>
      <c r="N407" s="5">
        <v>0.05</v>
      </c>
      <c r="O407" s="2">
        <v>26582.69</v>
      </c>
      <c r="P407" s="2">
        <v>4065.52</v>
      </c>
      <c r="Q407" t="s">
        <v>2169</v>
      </c>
    </row>
    <row r="408" spans="1:17">
      <c r="A408" t="s">
        <v>423</v>
      </c>
      <c r="B408" s="1">
        <v>45758</v>
      </c>
      <c r="C408" t="s">
        <v>1745</v>
      </c>
      <c r="D408" t="s">
        <v>2043</v>
      </c>
      <c r="E408" t="s">
        <v>2114</v>
      </c>
      <c r="F408" t="s">
        <v>2117</v>
      </c>
      <c r="G408" t="s">
        <v>2125</v>
      </c>
      <c r="H408" t="s">
        <v>2136</v>
      </c>
      <c r="I408" t="s">
        <v>2143</v>
      </c>
      <c r="J408" t="s">
        <v>2148</v>
      </c>
      <c r="K408" t="s">
        <v>2156</v>
      </c>
      <c r="L408" s="3">
        <v>2</v>
      </c>
      <c r="M408" s="2">
        <v>1241.31</v>
      </c>
      <c r="N408" s="5">
        <v>0.2</v>
      </c>
      <c r="O408" s="2">
        <v>1986.1</v>
      </c>
      <c r="P408" s="2">
        <v>149.22</v>
      </c>
      <c r="Q408" t="s">
        <v>2167</v>
      </c>
    </row>
    <row r="409" spans="1:17">
      <c r="A409" t="s">
        <v>424</v>
      </c>
      <c r="B409" s="1">
        <v>45758</v>
      </c>
      <c r="C409" t="s">
        <v>1746</v>
      </c>
      <c r="D409" t="s">
        <v>2044</v>
      </c>
      <c r="E409" t="s">
        <v>2114</v>
      </c>
      <c r="F409" t="s">
        <v>2118</v>
      </c>
      <c r="G409" t="s">
        <v>2128</v>
      </c>
      <c r="H409" t="s">
        <v>2128</v>
      </c>
      <c r="I409" t="s">
        <v>2144</v>
      </c>
      <c r="J409" t="s">
        <v>2147</v>
      </c>
      <c r="K409" t="s">
        <v>2155</v>
      </c>
      <c r="L409" s="3">
        <v>2</v>
      </c>
      <c r="M409" s="2">
        <v>756.41</v>
      </c>
      <c r="N409" s="5">
        <v>0.05</v>
      </c>
      <c r="O409" s="2">
        <v>1437.18</v>
      </c>
      <c r="P409" s="2">
        <v>297.56</v>
      </c>
      <c r="Q409" t="s">
        <v>2168</v>
      </c>
    </row>
    <row r="410" spans="1:17">
      <c r="A410" t="s">
        <v>425</v>
      </c>
      <c r="B410" s="1">
        <v>45758</v>
      </c>
      <c r="C410" t="s">
        <v>1633</v>
      </c>
      <c r="D410" t="s">
        <v>1931</v>
      </c>
      <c r="E410" t="s">
        <v>2113</v>
      </c>
      <c r="F410" t="s">
        <v>2116</v>
      </c>
      <c r="G410" t="s">
        <v>2127</v>
      </c>
      <c r="H410" t="s">
        <v>2140</v>
      </c>
      <c r="I410" t="s">
        <v>2143</v>
      </c>
      <c r="J410" t="s">
        <v>2146</v>
      </c>
      <c r="K410" t="s">
        <v>2154</v>
      </c>
      <c r="L410" s="3">
        <v>2</v>
      </c>
      <c r="M410" s="2">
        <v>43283.21</v>
      </c>
      <c r="N410" s="5">
        <v>0.1</v>
      </c>
      <c r="O410" s="2">
        <v>77909.78</v>
      </c>
      <c r="P410" s="2">
        <v>8223.7099999999991</v>
      </c>
      <c r="Q410" t="s">
        <v>2170</v>
      </c>
    </row>
    <row r="411" spans="1:17">
      <c r="A411" t="s">
        <v>426</v>
      </c>
      <c r="B411" s="1">
        <v>45758</v>
      </c>
      <c r="C411" t="s">
        <v>1585</v>
      </c>
      <c r="D411" t="s">
        <v>1883</v>
      </c>
      <c r="E411" t="s">
        <v>2114</v>
      </c>
      <c r="F411" t="s">
        <v>2119</v>
      </c>
      <c r="G411" t="s">
        <v>2124</v>
      </c>
      <c r="H411" t="s">
        <v>2135</v>
      </c>
      <c r="I411" t="s">
        <v>2143</v>
      </c>
      <c r="J411" t="s">
        <v>2148</v>
      </c>
      <c r="K411" t="s">
        <v>2161</v>
      </c>
      <c r="L411" s="3">
        <v>1</v>
      </c>
      <c r="M411" s="2">
        <v>1843.93</v>
      </c>
      <c r="N411" s="5">
        <v>0.1</v>
      </c>
      <c r="O411" s="2">
        <v>1659.54</v>
      </c>
      <c r="P411" s="2">
        <v>230.27</v>
      </c>
      <c r="Q411" t="s">
        <v>2169</v>
      </c>
    </row>
    <row r="412" spans="1:17">
      <c r="A412" t="s">
        <v>427</v>
      </c>
      <c r="B412" s="1">
        <v>45759</v>
      </c>
      <c r="C412" t="s">
        <v>1700</v>
      </c>
      <c r="D412" t="s">
        <v>1998</v>
      </c>
      <c r="E412" t="s">
        <v>2115</v>
      </c>
      <c r="F412" t="s">
        <v>2119</v>
      </c>
      <c r="G412" t="s">
        <v>2124</v>
      </c>
      <c r="H412" t="s">
        <v>2135</v>
      </c>
      <c r="I412" t="s">
        <v>2143</v>
      </c>
      <c r="J412" t="s">
        <v>2146</v>
      </c>
      <c r="K412" t="s">
        <v>2164</v>
      </c>
      <c r="L412" s="3">
        <v>2</v>
      </c>
      <c r="M412" s="2">
        <v>17428.79</v>
      </c>
      <c r="N412" s="5">
        <v>0.1</v>
      </c>
      <c r="O412" s="2">
        <v>31371.82</v>
      </c>
      <c r="P412" s="2">
        <v>4305.12</v>
      </c>
      <c r="Q412" t="s">
        <v>2167</v>
      </c>
    </row>
    <row r="413" spans="1:17">
      <c r="A413" t="s">
        <v>428</v>
      </c>
      <c r="B413" s="1">
        <v>45759</v>
      </c>
      <c r="C413" t="s">
        <v>1747</v>
      </c>
      <c r="D413" t="s">
        <v>2045</v>
      </c>
      <c r="E413" t="s">
        <v>2113</v>
      </c>
      <c r="F413" t="s">
        <v>2117</v>
      </c>
      <c r="G413" t="s">
        <v>2121</v>
      </c>
      <c r="H413" t="s">
        <v>2132</v>
      </c>
      <c r="I413" t="s">
        <v>2142</v>
      </c>
      <c r="J413" t="s">
        <v>2145</v>
      </c>
      <c r="K413" t="s">
        <v>2153</v>
      </c>
      <c r="L413" s="3">
        <v>1</v>
      </c>
      <c r="M413" s="2">
        <v>12481.76</v>
      </c>
      <c r="N413" s="5">
        <v>0.1</v>
      </c>
      <c r="O413" s="2">
        <v>11233.58</v>
      </c>
      <c r="P413" s="2">
        <v>2279.77</v>
      </c>
      <c r="Q413" t="s">
        <v>2170</v>
      </c>
    </row>
    <row r="414" spans="1:17">
      <c r="A414" t="s">
        <v>429</v>
      </c>
      <c r="B414" s="1">
        <v>45760</v>
      </c>
      <c r="C414" t="s">
        <v>1599</v>
      </c>
      <c r="D414" t="s">
        <v>1897</v>
      </c>
      <c r="E414" t="s">
        <v>2115</v>
      </c>
      <c r="F414" t="s">
        <v>2119</v>
      </c>
      <c r="G414" t="s">
        <v>2124</v>
      </c>
      <c r="H414" t="s">
        <v>2135</v>
      </c>
      <c r="I414" t="s">
        <v>2142</v>
      </c>
      <c r="J414" t="s">
        <v>2145</v>
      </c>
      <c r="K414" t="s">
        <v>2165</v>
      </c>
      <c r="L414" s="3">
        <v>3</v>
      </c>
      <c r="M414" s="2">
        <v>6681.76</v>
      </c>
      <c r="N414" s="5">
        <v>0.2</v>
      </c>
      <c r="O414" s="2">
        <v>16036.22</v>
      </c>
      <c r="P414" s="2">
        <v>3281.89</v>
      </c>
      <c r="Q414" t="s">
        <v>2169</v>
      </c>
    </row>
    <row r="415" spans="1:17">
      <c r="A415" t="s">
        <v>430</v>
      </c>
      <c r="B415" s="1">
        <v>45760</v>
      </c>
      <c r="C415" t="s">
        <v>1700</v>
      </c>
      <c r="D415" t="s">
        <v>1998</v>
      </c>
      <c r="E415" t="s">
        <v>2113</v>
      </c>
      <c r="F415" t="s">
        <v>2118</v>
      </c>
      <c r="G415" t="s">
        <v>2128</v>
      </c>
      <c r="H415" t="s">
        <v>2128</v>
      </c>
      <c r="I415" t="s">
        <v>2144</v>
      </c>
      <c r="J415" t="s">
        <v>2147</v>
      </c>
      <c r="K415" t="s">
        <v>2155</v>
      </c>
      <c r="L415" s="3">
        <v>2</v>
      </c>
      <c r="M415" s="2">
        <v>763.01</v>
      </c>
      <c r="N415" s="5">
        <v>0</v>
      </c>
      <c r="O415" s="2">
        <v>1526.02</v>
      </c>
      <c r="P415" s="2">
        <v>358.21</v>
      </c>
      <c r="Q415" t="s">
        <v>2167</v>
      </c>
    </row>
    <row r="416" spans="1:17">
      <c r="A416" t="s">
        <v>431</v>
      </c>
      <c r="B416" s="1">
        <v>45760</v>
      </c>
      <c r="C416" t="s">
        <v>1579</v>
      </c>
      <c r="D416" t="s">
        <v>1877</v>
      </c>
      <c r="E416" t="s">
        <v>2114</v>
      </c>
      <c r="F416" t="s">
        <v>2119</v>
      </c>
      <c r="G416" t="s">
        <v>2130</v>
      </c>
      <c r="H416" t="s">
        <v>2141</v>
      </c>
      <c r="I416" t="s">
        <v>2142</v>
      </c>
      <c r="J416" t="s">
        <v>2145</v>
      </c>
      <c r="K416" t="s">
        <v>2153</v>
      </c>
      <c r="L416" s="3">
        <v>1</v>
      </c>
      <c r="M416" s="2">
        <v>12352.6</v>
      </c>
      <c r="N416" s="5">
        <v>0.05</v>
      </c>
      <c r="O416" s="2">
        <v>11734.97</v>
      </c>
      <c r="P416" s="2">
        <v>2143.4699999999998</v>
      </c>
      <c r="Q416" t="s">
        <v>2170</v>
      </c>
    </row>
    <row r="417" spans="1:17">
      <c r="A417" t="s">
        <v>432</v>
      </c>
      <c r="B417" s="1">
        <v>45760</v>
      </c>
      <c r="C417" t="s">
        <v>1748</v>
      </c>
      <c r="D417" t="s">
        <v>2046</v>
      </c>
      <c r="E417" t="s">
        <v>2114</v>
      </c>
      <c r="F417" t="s">
        <v>2117</v>
      </c>
      <c r="G417" t="s">
        <v>2123</v>
      </c>
      <c r="H417" t="s">
        <v>2134</v>
      </c>
      <c r="I417" t="s">
        <v>2143</v>
      </c>
      <c r="J417" t="s">
        <v>2149</v>
      </c>
      <c r="K417" t="s">
        <v>2158</v>
      </c>
      <c r="L417" s="3">
        <v>1</v>
      </c>
      <c r="M417" s="2">
        <v>46859.25</v>
      </c>
      <c r="N417" s="5">
        <v>0.2</v>
      </c>
      <c r="O417" s="2">
        <v>37487.4</v>
      </c>
      <c r="P417" s="2">
        <v>529.52</v>
      </c>
      <c r="Q417" t="s">
        <v>2169</v>
      </c>
    </row>
    <row r="418" spans="1:17">
      <c r="A418" t="s">
        <v>433</v>
      </c>
      <c r="B418" s="1">
        <v>45760</v>
      </c>
      <c r="C418" t="s">
        <v>1585</v>
      </c>
      <c r="D418" t="s">
        <v>1883</v>
      </c>
      <c r="E418" t="s">
        <v>2114</v>
      </c>
      <c r="F418" t="s">
        <v>2116</v>
      </c>
      <c r="G418" t="s">
        <v>2120</v>
      </c>
      <c r="H418" t="s">
        <v>2131</v>
      </c>
      <c r="I418" t="s">
        <v>2142</v>
      </c>
      <c r="J418" t="s">
        <v>2151</v>
      </c>
      <c r="K418" t="s">
        <v>2160</v>
      </c>
      <c r="L418" s="3">
        <v>4</v>
      </c>
      <c r="M418" s="2">
        <v>8173.18</v>
      </c>
      <c r="N418" s="5">
        <v>0</v>
      </c>
      <c r="O418" s="2">
        <v>32692.720000000001</v>
      </c>
      <c r="P418" s="2">
        <v>5628.93</v>
      </c>
      <c r="Q418" t="s">
        <v>2168</v>
      </c>
    </row>
    <row r="419" spans="1:17">
      <c r="A419" t="s">
        <v>434</v>
      </c>
      <c r="B419" s="1">
        <v>45760</v>
      </c>
      <c r="C419" t="s">
        <v>1749</v>
      </c>
      <c r="D419" t="s">
        <v>2047</v>
      </c>
      <c r="E419" t="s">
        <v>2114</v>
      </c>
      <c r="F419" t="s">
        <v>2116</v>
      </c>
      <c r="G419" t="s">
        <v>2127</v>
      </c>
      <c r="H419" t="s">
        <v>2140</v>
      </c>
      <c r="I419" t="s">
        <v>2143</v>
      </c>
      <c r="J419" t="s">
        <v>2146</v>
      </c>
      <c r="K419" t="s">
        <v>2154</v>
      </c>
      <c r="L419" s="3">
        <v>2</v>
      </c>
      <c r="M419" s="2">
        <v>43029.27</v>
      </c>
      <c r="N419" s="5">
        <v>0.15</v>
      </c>
      <c r="O419" s="2">
        <v>73149.759999999995</v>
      </c>
      <c r="P419" s="2">
        <v>4068.27</v>
      </c>
      <c r="Q419" t="s">
        <v>2167</v>
      </c>
    </row>
    <row r="420" spans="1:17">
      <c r="A420" t="s">
        <v>435</v>
      </c>
      <c r="B420" s="1">
        <v>45761</v>
      </c>
      <c r="C420" t="s">
        <v>1750</v>
      </c>
      <c r="D420" t="s">
        <v>2048</v>
      </c>
      <c r="E420" t="s">
        <v>2114</v>
      </c>
      <c r="F420" t="s">
        <v>2118</v>
      </c>
      <c r="G420" t="s">
        <v>2126</v>
      </c>
      <c r="H420" t="s">
        <v>2137</v>
      </c>
      <c r="I420" t="s">
        <v>2144</v>
      </c>
      <c r="J420" t="s">
        <v>2152</v>
      </c>
      <c r="K420" t="s">
        <v>2166</v>
      </c>
      <c r="L420" s="3">
        <v>2</v>
      </c>
      <c r="M420" s="2">
        <v>615.35</v>
      </c>
      <c r="N420" s="5">
        <v>0.15</v>
      </c>
      <c r="O420" s="2">
        <v>1046.0999999999999</v>
      </c>
      <c r="P420" s="2">
        <v>237.98</v>
      </c>
      <c r="Q420" t="s">
        <v>2169</v>
      </c>
    </row>
    <row r="421" spans="1:17">
      <c r="A421" t="s">
        <v>436</v>
      </c>
      <c r="B421" s="1">
        <v>45761</v>
      </c>
      <c r="C421" t="s">
        <v>1534</v>
      </c>
      <c r="D421" t="s">
        <v>1832</v>
      </c>
      <c r="E421" t="s">
        <v>2114</v>
      </c>
      <c r="F421" t="s">
        <v>2117</v>
      </c>
      <c r="G421" t="s">
        <v>2123</v>
      </c>
      <c r="H421" t="s">
        <v>2134</v>
      </c>
      <c r="I421" t="s">
        <v>2142</v>
      </c>
      <c r="J421" t="s">
        <v>2147</v>
      </c>
      <c r="K421" t="s">
        <v>2157</v>
      </c>
      <c r="L421" s="3">
        <v>3</v>
      </c>
      <c r="M421" s="2">
        <v>14804.35</v>
      </c>
      <c r="N421" s="5">
        <v>0.05</v>
      </c>
      <c r="O421" s="2">
        <v>42192.4</v>
      </c>
      <c r="P421" s="2">
        <v>4960.1499999999996</v>
      </c>
      <c r="Q421" t="s">
        <v>2170</v>
      </c>
    </row>
    <row r="422" spans="1:17">
      <c r="A422" t="s">
        <v>437</v>
      </c>
      <c r="B422" s="1">
        <v>45761</v>
      </c>
      <c r="C422" t="s">
        <v>1631</v>
      </c>
      <c r="D422" t="s">
        <v>1929</v>
      </c>
      <c r="E422" t="s">
        <v>2114</v>
      </c>
      <c r="F422" t="s">
        <v>2118</v>
      </c>
      <c r="G422" t="s">
        <v>2128</v>
      </c>
      <c r="H422" t="s">
        <v>2128</v>
      </c>
      <c r="I422" t="s">
        <v>2143</v>
      </c>
      <c r="J422" t="s">
        <v>2146</v>
      </c>
      <c r="K422" t="s">
        <v>2164</v>
      </c>
      <c r="L422" s="3">
        <v>3</v>
      </c>
      <c r="M422" s="2">
        <v>18258.39</v>
      </c>
      <c r="N422" s="5">
        <v>0.1</v>
      </c>
      <c r="O422" s="2">
        <v>49297.65</v>
      </c>
      <c r="P422" s="2">
        <v>2957</v>
      </c>
      <c r="Q422" t="s">
        <v>2167</v>
      </c>
    </row>
    <row r="423" spans="1:17">
      <c r="A423" t="s">
        <v>438</v>
      </c>
      <c r="B423" s="1">
        <v>45762</v>
      </c>
      <c r="C423" t="s">
        <v>1682</v>
      </c>
      <c r="D423" t="s">
        <v>1980</v>
      </c>
      <c r="E423" t="s">
        <v>2114</v>
      </c>
      <c r="F423" t="s">
        <v>2118</v>
      </c>
      <c r="G423" t="s">
        <v>2128</v>
      </c>
      <c r="H423" t="s">
        <v>2128</v>
      </c>
      <c r="I423" t="s">
        <v>2142</v>
      </c>
      <c r="J423" t="s">
        <v>2147</v>
      </c>
      <c r="K423" t="s">
        <v>2157</v>
      </c>
      <c r="L423" s="3">
        <v>2</v>
      </c>
      <c r="M423" s="2">
        <v>14006.95</v>
      </c>
      <c r="N423" s="5">
        <v>0</v>
      </c>
      <c r="O423" s="2">
        <v>28013.9</v>
      </c>
      <c r="P423" s="2">
        <v>3425.44</v>
      </c>
      <c r="Q423" t="s">
        <v>2167</v>
      </c>
    </row>
    <row r="424" spans="1:17">
      <c r="A424" t="s">
        <v>439</v>
      </c>
      <c r="B424" s="1">
        <v>45762</v>
      </c>
      <c r="C424" t="s">
        <v>1532</v>
      </c>
      <c r="D424" t="s">
        <v>1830</v>
      </c>
      <c r="E424" t="s">
        <v>2115</v>
      </c>
      <c r="F424" t="s">
        <v>2117</v>
      </c>
      <c r="G424" t="s">
        <v>2123</v>
      </c>
      <c r="H424" t="s">
        <v>2134</v>
      </c>
      <c r="I424" t="s">
        <v>2143</v>
      </c>
      <c r="J424" t="s">
        <v>2148</v>
      </c>
      <c r="K424" t="s">
        <v>2161</v>
      </c>
      <c r="L424" s="3">
        <v>3</v>
      </c>
      <c r="M424" s="2">
        <v>1754.02</v>
      </c>
      <c r="N424" s="5">
        <v>0.05</v>
      </c>
      <c r="O424" s="2">
        <v>4998.96</v>
      </c>
      <c r="P424" s="2">
        <v>512.82000000000005</v>
      </c>
      <c r="Q424" t="s">
        <v>2170</v>
      </c>
    </row>
    <row r="425" spans="1:17">
      <c r="A425" t="s">
        <v>440</v>
      </c>
      <c r="B425" s="1">
        <v>45762</v>
      </c>
      <c r="C425" t="s">
        <v>1522</v>
      </c>
      <c r="D425" t="s">
        <v>1820</v>
      </c>
      <c r="E425" t="s">
        <v>2115</v>
      </c>
      <c r="F425" t="s">
        <v>2116</v>
      </c>
      <c r="G425" t="s">
        <v>2120</v>
      </c>
      <c r="H425" t="s">
        <v>2131</v>
      </c>
      <c r="I425" t="s">
        <v>2142</v>
      </c>
      <c r="J425" t="s">
        <v>2147</v>
      </c>
      <c r="K425" t="s">
        <v>2157</v>
      </c>
      <c r="L425" s="3">
        <v>1</v>
      </c>
      <c r="M425" s="2">
        <v>14252.16</v>
      </c>
      <c r="N425" s="5">
        <v>0.15</v>
      </c>
      <c r="O425" s="2">
        <v>12114.34</v>
      </c>
      <c r="P425" s="2">
        <v>1649.13</v>
      </c>
      <c r="Q425" t="s">
        <v>2170</v>
      </c>
    </row>
    <row r="426" spans="1:17">
      <c r="A426" t="s">
        <v>441</v>
      </c>
      <c r="B426" s="1">
        <v>45763</v>
      </c>
      <c r="C426" t="s">
        <v>1701</v>
      </c>
      <c r="D426" t="s">
        <v>1999</v>
      </c>
      <c r="E426" t="s">
        <v>2114</v>
      </c>
      <c r="F426" t="s">
        <v>2117</v>
      </c>
      <c r="G426" t="s">
        <v>2125</v>
      </c>
      <c r="H426" t="s">
        <v>2136</v>
      </c>
      <c r="I426" t="s">
        <v>2144</v>
      </c>
      <c r="J426" t="s">
        <v>2150</v>
      </c>
      <c r="K426" t="s">
        <v>2159</v>
      </c>
      <c r="L426" s="3">
        <v>2</v>
      </c>
      <c r="M426" s="2">
        <v>443.12</v>
      </c>
      <c r="N426" s="5">
        <v>0</v>
      </c>
      <c r="O426" s="2">
        <v>886.24</v>
      </c>
      <c r="P426" s="2">
        <v>229.93</v>
      </c>
      <c r="Q426" t="s">
        <v>2168</v>
      </c>
    </row>
    <row r="427" spans="1:17">
      <c r="A427" t="s">
        <v>442</v>
      </c>
      <c r="B427" s="1">
        <v>45764</v>
      </c>
      <c r="C427" t="s">
        <v>1641</v>
      </c>
      <c r="D427" t="s">
        <v>1939</v>
      </c>
      <c r="E427" t="s">
        <v>2115</v>
      </c>
      <c r="F427" t="s">
        <v>2118</v>
      </c>
      <c r="G427" t="s">
        <v>2122</v>
      </c>
      <c r="H427" t="s">
        <v>2133</v>
      </c>
      <c r="I427" t="s">
        <v>2144</v>
      </c>
      <c r="J427" t="s">
        <v>2150</v>
      </c>
      <c r="K427" t="s">
        <v>2159</v>
      </c>
      <c r="L427" s="3">
        <v>1</v>
      </c>
      <c r="M427" s="2">
        <v>464.25</v>
      </c>
      <c r="N427" s="5">
        <v>0.05</v>
      </c>
      <c r="O427" s="2">
        <v>441.04</v>
      </c>
      <c r="P427" s="2">
        <v>67.760000000000005</v>
      </c>
      <c r="Q427" t="s">
        <v>2169</v>
      </c>
    </row>
    <row r="428" spans="1:17">
      <c r="A428" t="s">
        <v>443</v>
      </c>
      <c r="B428" s="1">
        <v>45764</v>
      </c>
      <c r="C428" t="s">
        <v>1725</v>
      </c>
      <c r="D428" t="s">
        <v>2023</v>
      </c>
      <c r="E428" t="s">
        <v>2114</v>
      </c>
      <c r="F428" t="s">
        <v>2117</v>
      </c>
      <c r="G428" t="s">
        <v>2125</v>
      </c>
      <c r="H428" t="s">
        <v>2136</v>
      </c>
      <c r="I428" t="s">
        <v>2143</v>
      </c>
      <c r="J428" t="s">
        <v>2148</v>
      </c>
      <c r="K428" t="s">
        <v>2161</v>
      </c>
      <c r="L428" s="3">
        <v>1</v>
      </c>
      <c r="M428" s="2">
        <v>1793.56</v>
      </c>
      <c r="N428" s="5">
        <v>0.05</v>
      </c>
      <c r="O428" s="2">
        <v>1703.88</v>
      </c>
      <c r="P428" s="2">
        <v>286.20999999999998</v>
      </c>
      <c r="Q428" t="s">
        <v>2170</v>
      </c>
    </row>
    <row r="429" spans="1:17">
      <c r="A429" t="s">
        <v>444</v>
      </c>
      <c r="B429" s="1">
        <v>45764</v>
      </c>
      <c r="C429" t="s">
        <v>1581</v>
      </c>
      <c r="D429" t="s">
        <v>1879</v>
      </c>
      <c r="E429" t="s">
        <v>2113</v>
      </c>
      <c r="F429" t="s">
        <v>2116</v>
      </c>
      <c r="G429" t="s">
        <v>2120</v>
      </c>
      <c r="H429" t="s">
        <v>2131</v>
      </c>
      <c r="I429" t="s">
        <v>2144</v>
      </c>
      <c r="J429" t="s">
        <v>2152</v>
      </c>
      <c r="K429" t="s">
        <v>2162</v>
      </c>
      <c r="L429" s="3">
        <v>3</v>
      </c>
      <c r="M429" s="2">
        <v>357.63</v>
      </c>
      <c r="N429" s="5">
        <v>0.15</v>
      </c>
      <c r="O429" s="2">
        <v>911.96</v>
      </c>
      <c r="P429" s="2">
        <v>296.77</v>
      </c>
      <c r="Q429" t="s">
        <v>2168</v>
      </c>
    </row>
    <row r="430" spans="1:17">
      <c r="A430" t="s">
        <v>445</v>
      </c>
      <c r="B430" s="1">
        <v>45765</v>
      </c>
      <c r="C430" t="s">
        <v>1751</v>
      </c>
      <c r="D430" t="s">
        <v>2049</v>
      </c>
      <c r="E430" t="s">
        <v>2114</v>
      </c>
      <c r="F430" t="s">
        <v>2116</v>
      </c>
      <c r="G430" t="s">
        <v>2120</v>
      </c>
      <c r="H430" t="s">
        <v>2131</v>
      </c>
      <c r="I430" t="s">
        <v>2143</v>
      </c>
      <c r="J430" t="s">
        <v>2146</v>
      </c>
      <c r="K430" t="s">
        <v>2164</v>
      </c>
      <c r="L430" s="3">
        <v>4</v>
      </c>
      <c r="M430" s="2">
        <v>18445.14</v>
      </c>
      <c r="N430" s="5">
        <v>0</v>
      </c>
      <c r="O430" s="2">
        <v>73780.56</v>
      </c>
      <c r="P430" s="2">
        <v>6397.36</v>
      </c>
      <c r="Q430" t="s">
        <v>2169</v>
      </c>
    </row>
    <row r="431" spans="1:17">
      <c r="A431" t="s">
        <v>446</v>
      </c>
      <c r="B431" s="1">
        <v>45765</v>
      </c>
      <c r="C431" t="s">
        <v>1693</v>
      </c>
      <c r="D431" t="s">
        <v>1991</v>
      </c>
      <c r="E431" t="s">
        <v>2114</v>
      </c>
      <c r="F431" t="s">
        <v>2119</v>
      </c>
      <c r="G431" t="s">
        <v>2124</v>
      </c>
      <c r="H431" t="s">
        <v>2135</v>
      </c>
      <c r="I431" t="s">
        <v>2142</v>
      </c>
      <c r="J431" t="s">
        <v>2147</v>
      </c>
      <c r="K431" t="s">
        <v>2157</v>
      </c>
      <c r="L431" s="3">
        <v>2</v>
      </c>
      <c r="M431" s="2">
        <v>15027.74</v>
      </c>
      <c r="N431" s="5">
        <v>0.1</v>
      </c>
      <c r="O431" s="2">
        <v>27049.93</v>
      </c>
      <c r="P431" s="2">
        <v>4451.6499999999996</v>
      </c>
      <c r="Q431" t="s">
        <v>2167</v>
      </c>
    </row>
    <row r="432" spans="1:17">
      <c r="A432" t="s">
        <v>447</v>
      </c>
      <c r="B432" s="1">
        <v>45765</v>
      </c>
      <c r="C432" t="s">
        <v>1534</v>
      </c>
      <c r="D432" t="s">
        <v>1832</v>
      </c>
      <c r="E432" t="s">
        <v>2114</v>
      </c>
      <c r="F432" t="s">
        <v>2119</v>
      </c>
      <c r="G432" t="s">
        <v>2129</v>
      </c>
      <c r="H432" t="s">
        <v>2139</v>
      </c>
      <c r="I432" t="s">
        <v>2143</v>
      </c>
      <c r="J432" t="s">
        <v>2149</v>
      </c>
      <c r="K432" t="s">
        <v>2163</v>
      </c>
      <c r="L432" s="3">
        <v>4</v>
      </c>
      <c r="M432" s="2">
        <v>65407.63</v>
      </c>
      <c r="N432" s="5">
        <v>0.05</v>
      </c>
      <c r="O432" s="2">
        <v>248548.99</v>
      </c>
      <c r="P432" s="2">
        <v>19247.11</v>
      </c>
      <c r="Q432" t="s">
        <v>2167</v>
      </c>
    </row>
    <row r="433" spans="1:17">
      <c r="A433" t="s">
        <v>448</v>
      </c>
      <c r="B433" s="1">
        <v>45765</v>
      </c>
      <c r="C433" t="s">
        <v>1752</v>
      </c>
      <c r="D433" t="s">
        <v>2050</v>
      </c>
      <c r="E433" t="s">
        <v>2113</v>
      </c>
      <c r="F433" t="s">
        <v>2118</v>
      </c>
      <c r="G433" t="s">
        <v>2128</v>
      </c>
      <c r="H433" t="s">
        <v>2128</v>
      </c>
      <c r="I433" t="s">
        <v>2144</v>
      </c>
      <c r="J433" t="s">
        <v>2152</v>
      </c>
      <c r="K433" t="s">
        <v>2166</v>
      </c>
      <c r="L433" s="3">
        <v>2</v>
      </c>
      <c r="M433" s="2">
        <v>618.34</v>
      </c>
      <c r="N433" s="5">
        <v>0.15</v>
      </c>
      <c r="O433" s="2">
        <v>1051.18</v>
      </c>
      <c r="P433" s="2">
        <v>230.75</v>
      </c>
      <c r="Q433" t="s">
        <v>2168</v>
      </c>
    </row>
    <row r="434" spans="1:17">
      <c r="A434" t="s">
        <v>449</v>
      </c>
      <c r="B434" s="1">
        <v>45765</v>
      </c>
      <c r="C434" t="s">
        <v>1609</v>
      </c>
      <c r="D434" t="s">
        <v>1907</v>
      </c>
      <c r="E434" t="s">
        <v>2115</v>
      </c>
      <c r="F434" t="s">
        <v>2117</v>
      </c>
      <c r="G434" t="s">
        <v>2123</v>
      </c>
      <c r="H434" t="s">
        <v>2134</v>
      </c>
      <c r="I434" t="s">
        <v>2143</v>
      </c>
      <c r="J434" t="s">
        <v>2149</v>
      </c>
      <c r="K434" t="s">
        <v>2163</v>
      </c>
      <c r="L434" s="3">
        <v>3</v>
      </c>
      <c r="M434" s="2">
        <v>67134.850000000006</v>
      </c>
      <c r="N434" s="5">
        <v>0.1</v>
      </c>
      <c r="O434" s="2">
        <v>181264.1</v>
      </c>
      <c r="P434" s="2">
        <v>12562.54</v>
      </c>
      <c r="Q434" t="s">
        <v>2170</v>
      </c>
    </row>
    <row r="435" spans="1:17">
      <c r="A435" t="s">
        <v>450</v>
      </c>
      <c r="B435" s="1">
        <v>45765</v>
      </c>
      <c r="C435" t="s">
        <v>1525</v>
      </c>
      <c r="D435" t="s">
        <v>1823</v>
      </c>
      <c r="E435" t="s">
        <v>2114</v>
      </c>
      <c r="F435" t="s">
        <v>2118</v>
      </c>
      <c r="G435" t="s">
        <v>2122</v>
      </c>
      <c r="H435" t="s">
        <v>2133</v>
      </c>
      <c r="I435" t="s">
        <v>2144</v>
      </c>
      <c r="J435" t="s">
        <v>2147</v>
      </c>
      <c r="K435" t="s">
        <v>2155</v>
      </c>
      <c r="L435" s="3">
        <v>5</v>
      </c>
      <c r="M435" s="2">
        <v>765.7</v>
      </c>
      <c r="N435" s="5">
        <v>0</v>
      </c>
      <c r="O435" s="2">
        <v>3828.5</v>
      </c>
      <c r="P435" s="2">
        <v>981.71</v>
      </c>
      <c r="Q435" t="s">
        <v>2167</v>
      </c>
    </row>
    <row r="436" spans="1:17">
      <c r="A436" t="s">
        <v>451</v>
      </c>
      <c r="B436" s="1">
        <v>45766</v>
      </c>
      <c r="C436" t="s">
        <v>1643</v>
      </c>
      <c r="D436" t="s">
        <v>1941</v>
      </c>
      <c r="E436" t="s">
        <v>2114</v>
      </c>
      <c r="F436" t="s">
        <v>2119</v>
      </c>
      <c r="G436" t="s">
        <v>2130</v>
      </c>
      <c r="H436" t="s">
        <v>2141</v>
      </c>
      <c r="I436" t="s">
        <v>2144</v>
      </c>
      <c r="J436" t="s">
        <v>2152</v>
      </c>
      <c r="K436" t="s">
        <v>2162</v>
      </c>
      <c r="L436" s="3">
        <v>2</v>
      </c>
      <c r="M436" s="2">
        <v>363.18</v>
      </c>
      <c r="N436" s="5">
        <v>0.1</v>
      </c>
      <c r="O436" s="2">
        <v>653.72</v>
      </c>
      <c r="P436" s="2">
        <v>204.24</v>
      </c>
      <c r="Q436" t="s">
        <v>2167</v>
      </c>
    </row>
    <row r="437" spans="1:17">
      <c r="A437" t="s">
        <v>452</v>
      </c>
      <c r="B437" s="1">
        <v>45766</v>
      </c>
      <c r="C437" t="s">
        <v>1593</v>
      </c>
      <c r="D437" t="s">
        <v>1891</v>
      </c>
      <c r="E437" t="s">
        <v>2115</v>
      </c>
      <c r="F437" t="s">
        <v>2117</v>
      </c>
      <c r="G437" t="s">
        <v>2123</v>
      </c>
      <c r="H437" t="s">
        <v>2134</v>
      </c>
      <c r="I437" t="s">
        <v>2144</v>
      </c>
      <c r="J437" t="s">
        <v>2152</v>
      </c>
      <c r="K437" t="s">
        <v>2162</v>
      </c>
      <c r="L437" s="3">
        <v>2</v>
      </c>
      <c r="M437" s="2">
        <v>336.94</v>
      </c>
      <c r="N437" s="5">
        <v>0.1</v>
      </c>
      <c r="O437" s="2">
        <v>606.49</v>
      </c>
      <c r="P437" s="2">
        <v>169.74</v>
      </c>
      <c r="Q437" t="s">
        <v>2170</v>
      </c>
    </row>
    <row r="438" spans="1:17">
      <c r="A438" t="s">
        <v>453</v>
      </c>
      <c r="B438" s="1">
        <v>45766</v>
      </c>
      <c r="C438" t="s">
        <v>1737</v>
      </c>
      <c r="D438" t="s">
        <v>2035</v>
      </c>
      <c r="E438" t="s">
        <v>2114</v>
      </c>
      <c r="F438" t="s">
        <v>2116</v>
      </c>
      <c r="G438" t="s">
        <v>2127</v>
      </c>
      <c r="H438" t="s">
        <v>2138</v>
      </c>
      <c r="I438" t="s">
        <v>2142</v>
      </c>
      <c r="J438" t="s">
        <v>2145</v>
      </c>
      <c r="K438" t="s">
        <v>2153</v>
      </c>
      <c r="L438" s="3">
        <v>1</v>
      </c>
      <c r="M438" s="2">
        <v>11465.05</v>
      </c>
      <c r="N438" s="5">
        <v>0</v>
      </c>
      <c r="O438" s="2">
        <v>11465.05</v>
      </c>
      <c r="P438" s="2">
        <v>2706.63</v>
      </c>
      <c r="Q438" t="s">
        <v>2170</v>
      </c>
    </row>
    <row r="439" spans="1:17">
      <c r="A439" t="s">
        <v>454</v>
      </c>
      <c r="B439" s="1">
        <v>45766</v>
      </c>
      <c r="C439" t="s">
        <v>1753</v>
      </c>
      <c r="D439" t="s">
        <v>2051</v>
      </c>
      <c r="E439" t="s">
        <v>2114</v>
      </c>
      <c r="F439" t="s">
        <v>2117</v>
      </c>
      <c r="G439" t="s">
        <v>2123</v>
      </c>
      <c r="H439" t="s">
        <v>2134</v>
      </c>
      <c r="I439" t="s">
        <v>2142</v>
      </c>
      <c r="J439" t="s">
        <v>2151</v>
      </c>
      <c r="K439" t="s">
        <v>2160</v>
      </c>
      <c r="L439" s="3">
        <v>1</v>
      </c>
      <c r="M439" s="2">
        <v>8587.74</v>
      </c>
      <c r="N439" s="5">
        <v>0.15</v>
      </c>
      <c r="O439" s="2">
        <v>7299.58</v>
      </c>
      <c r="P439" s="2">
        <v>912.44</v>
      </c>
      <c r="Q439" t="s">
        <v>2169</v>
      </c>
    </row>
    <row r="440" spans="1:17">
      <c r="A440" t="s">
        <v>455</v>
      </c>
      <c r="B440" s="1">
        <v>45766</v>
      </c>
      <c r="C440" t="s">
        <v>1592</v>
      </c>
      <c r="D440" t="s">
        <v>1890</v>
      </c>
      <c r="E440" t="s">
        <v>2114</v>
      </c>
      <c r="F440" t="s">
        <v>2116</v>
      </c>
      <c r="G440" t="s">
        <v>2127</v>
      </c>
      <c r="H440" t="s">
        <v>2138</v>
      </c>
      <c r="I440" t="s">
        <v>2143</v>
      </c>
      <c r="J440" t="s">
        <v>2148</v>
      </c>
      <c r="K440" t="s">
        <v>2156</v>
      </c>
      <c r="L440" s="3">
        <v>1</v>
      </c>
      <c r="M440" s="2">
        <v>1201.26</v>
      </c>
      <c r="N440" s="5">
        <v>0.05</v>
      </c>
      <c r="O440" s="2">
        <v>1141.2</v>
      </c>
      <c r="P440" s="2">
        <v>122.42</v>
      </c>
      <c r="Q440" t="s">
        <v>2169</v>
      </c>
    </row>
    <row r="441" spans="1:17">
      <c r="A441" t="s">
        <v>456</v>
      </c>
      <c r="B441" s="1">
        <v>45766</v>
      </c>
      <c r="C441" t="s">
        <v>1535</v>
      </c>
      <c r="D441" t="s">
        <v>1833</v>
      </c>
      <c r="E441" t="s">
        <v>2114</v>
      </c>
      <c r="F441" t="s">
        <v>2118</v>
      </c>
      <c r="G441" t="s">
        <v>2122</v>
      </c>
      <c r="H441" t="s">
        <v>2133</v>
      </c>
      <c r="I441" t="s">
        <v>2142</v>
      </c>
      <c r="J441" t="s">
        <v>2147</v>
      </c>
      <c r="K441" t="s">
        <v>2157</v>
      </c>
      <c r="L441" s="3">
        <v>4</v>
      </c>
      <c r="M441" s="2">
        <v>14340.31</v>
      </c>
      <c r="N441" s="5">
        <v>0</v>
      </c>
      <c r="O441" s="2">
        <v>57361.24</v>
      </c>
      <c r="P441" s="2">
        <v>13581.86</v>
      </c>
      <c r="Q441" t="s">
        <v>2170</v>
      </c>
    </row>
    <row r="442" spans="1:17">
      <c r="A442" t="s">
        <v>457</v>
      </c>
      <c r="B442" s="1">
        <v>45766</v>
      </c>
      <c r="C442" t="s">
        <v>1624</v>
      </c>
      <c r="D442" t="s">
        <v>1922</v>
      </c>
      <c r="E442" t="s">
        <v>2114</v>
      </c>
      <c r="F442" t="s">
        <v>2119</v>
      </c>
      <c r="G442" t="s">
        <v>2130</v>
      </c>
      <c r="H442" t="s">
        <v>2141</v>
      </c>
      <c r="I442" t="s">
        <v>2143</v>
      </c>
      <c r="J442" t="s">
        <v>2148</v>
      </c>
      <c r="K442" t="s">
        <v>2161</v>
      </c>
      <c r="L442" s="3">
        <v>1</v>
      </c>
      <c r="M442" s="2">
        <v>1792.73</v>
      </c>
      <c r="N442" s="5">
        <v>0</v>
      </c>
      <c r="O442" s="2">
        <v>1792.73</v>
      </c>
      <c r="P442" s="2">
        <v>301.16000000000003</v>
      </c>
      <c r="Q442" t="s">
        <v>2168</v>
      </c>
    </row>
    <row r="443" spans="1:17">
      <c r="A443" t="s">
        <v>458</v>
      </c>
      <c r="B443" s="1">
        <v>45766</v>
      </c>
      <c r="C443" t="s">
        <v>1601</v>
      </c>
      <c r="D443" t="s">
        <v>1899</v>
      </c>
      <c r="E443" t="s">
        <v>2114</v>
      </c>
      <c r="F443" t="s">
        <v>2119</v>
      </c>
      <c r="G443" t="s">
        <v>2129</v>
      </c>
      <c r="H443" t="s">
        <v>2139</v>
      </c>
      <c r="I443" t="s">
        <v>2143</v>
      </c>
      <c r="J443" t="s">
        <v>2148</v>
      </c>
      <c r="K443" t="s">
        <v>2161</v>
      </c>
      <c r="L443" s="3">
        <v>5</v>
      </c>
      <c r="M443" s="2">
        <v>1762.1</v>
      </c>
      <c r="N443" s="5">
        <v>0.15</v>
      </c>
      <c r="O443" s="2">
        <v>7488.93</v>
      </c>
      <c r="P443" s="2">
        <v>1082.3599999999999</v>
      </c>
      <c r="Q443" t="s">
        <v>2167</v>
      </c>
    </row>
    <row r="444" spans="1:17">
      <c r="A444" t="s">
        <v>459</v>
      </c>
      <c r="B444" s="1">
        <v>45767</v>
      </c>
      <c r="C444" t="s">
        <v>1550</v>
      </c>
      <c r="D444" t="s">
        <v>1848</v>
      </c>
      <c r="E444" t="s">
        <v>2114</v>
      </c>
      <c r="F444" t="s">
        <v>2116</v>
      </c>
      <c r="G444" t="s">
        <v>2127</v>
      </c>
      <c r="H444" t="s">
        <v>2138</v>
      </c>
      <c r="I444" t="s">
        <v>2143</v>
      </c>
      <c r="J444" t="s">
        <v>2146</v>
      </c>
      <c r="K444" t="s">
        <v>2164</v>
      </c>
      <c r="L444" s="3">
        <v>1</v>
      </c>
      <c r="M444" s="2">
        <v>17986.810000000001</v>
      </c>
      <c r="N444" s="5">
        <v>0.15</v>
      </c>
      <c r="O444" s="2">
        <v>15288.79</v>
      </c>
      <c r="P444" s="2">
        <v>1635.14</v>
      </c>
      <c r="Q444" t="s">
        <v>2170</v>
      </c>
    </row>
    <row r="445" spans="1:17">
      <c r="A445" t="s">
        <v>460</v>
      </c>
      <c r="B445" s="1">
        <v>45767</v>
      </c>
      <c r="C445" t="s">
        <v>1565</v>
      </c>
      <c r="D445" t="s">
        <v>1863</v>
      </c>
      <c r="E445" t="s">
        <v>2114</v>
      </c>
      <c r="F445" t="s">
        <v>2119</v>
      </c>
      <c r="G445" t="s">
        <v>2124</v>
      </c>
      <c r="H445" t="s">
        <v>2135</v>
      </c>
      <c r="I445" t="s">
        <v>2144</v>
      </c>
      <c r="J445" t="s">
        <v>2152</v>
      </c>
      <c r="K445" t="s">
        <v>2166</v>
      </c>
      <c r="L445" s="3">
        <v>2</v>
      </c>
      <c r="M445" s="2">
        <v>627.97</v>
      </c>
      <c r="N445" s="5">
        <v>0</v>
      </c>
      <c r="O445" s="2">
        <v>1255.94</v>
      </c>
      <c r="P445" s="2">
        <v>220.41</v>
      </c>
      <c r="Q445" t="s">
        <v>2168</v>
      </c>
    </row>
    <row r="446" spans="1:17">
      <c r="A446" t="s">
        <v>461</v>
      </c>
      <c r="B446" s="1">
        <v>45767</v>
      </c>
      <c r="C446" t="s">
        <v>1754</v>
      </c>
      <c r="D446" t="s">
        <v>2052</v>
      </c>
      <c r="E446" t="s">
        <v>2114</v>
      </c>
      <c r="F446" t="s">
        <v>2117</v>
      </c>
      <c r="G446" t="s">
        <v>2123</v>
      </c>
      <c r="H446" t="s">
        <v>2134</v>
      </c>
      <c r="I446" t="s">
        <v>2143</v>
      </c>
      <c r="J446" t="s">
        <v>2146</v>
      </c>
      <c r="K446" t="s">
        <v>2154</v>
      </c>
      <c r="L446" s="3">
        <v>1</v>
      </c>
      <c r="M446" s="2">
        <v>40854.53</v>
      </c>
      <c r="N446" s="5">
        <v>0.05</v>
      </c>
      <c r="O446" s="2">
        <v>38811.800000000003</v>
      </c>
      <c r="P446" s="2">
        <v>3015.84</v>
      </c>
      <c r="Q446" t="s">
        <v>2169</v>
      </c>
    </row>
    <row r="447" spans="1:17">
      <c r="A447" t="s">
        <v>462</v>
      </c>
      <c r="B447" s="1">
        <v>45767</v>
      </c>
      <c r="C447" t="s">
        <v>1686</v>
      </c>
      <c r="D447" t="s">
        <v>1984</v>
      </c>
      <c r="E447" t="s">
        <v>2114</v>
      </c>
      <c r="F447" t="s">
        <v>2119</v>
      </c>
      <c r="G447" t="s">
        <v>2129</v>
      </c>
      <c r="H447" t="s">
        <v>2139</v>
      </c>
      <c r="I447" t="s">
        <v>2144</v>
      </c>
      <c r="J447" t="s">
        <v>2152</v>
      </c>
      <c r="K447" t="s">
        <v>2162</v>
      </c>
      <c r="L447" s="3">
        <v>2</v>
      </c>
      <c r="M447" s="2">
        <v>346.68</v>
      </c>
      <c r="N447" s="5">
        <v>0</v>
      </c>
      <c r="O447" s="2">
        <v>693.36</v>
      </c>
      <c r="P447" s="2">
        <v>109.54</v>
      </c>
      <c r="Q447" t="s">
        <v>2167</v>
      </c>
    </row>
    <row r="448" spans="1:17">
      <c r="A448" t="s">
        <v>463</v>
      </c>
      <c r="B448" s="1">
        <v>45768</v>
      </c>
      <c r="C448" t="s">
        <v>1657</v>
      </c>
      <c r="D448" t="s">
        <v>1955</v>
      </c>
      <c r="E448" t="s">
        <v>2115</v>
      </c>
      <c r="F448" t="s">
        <v>2117</v>
      </c>
      <c r="G448" t="s">
        <v>2125</v>
      </c>
      <c r="H448" t="s">
        <v>2136</v>
      </c>
      <c r="I448" t="s">
        <v>2144</v>
      </c>
      <c r="J448" t="s">
        <v>2152</v>
      </c>
      <c r="K448" t="s">
        <v>2162</v>
      </c>
      <c r="L448" s="3">
        <v>2</v>
      </c>
      <c r="M448" s="2">
        <v>352.82</v>
      </c>
      <c r="N448" s="5">
        <v>0.05</v>
      </c>
      <c r="O448" s="2">
        <v>670.36</v>
      </c>
      <c r="P448" s="2">
        <v>112.14</v>
      </c>
      <c r="Q448" t="s">
        <v>2169</v>
      </c>
    </row>
    <row r="449" spans="1:17">
      <c r="A449" t="s">
        <v>464</v>
      </c>
      <c r="B449" s="1">
        <v>45768</v>
      </c>
      <c r="C449" t="s">
        <v>1703</v>
      </c>
      <c r="D449" t="s">
        <v>2001</v>
      </c>
      <c r="E449" t="s">
        <v>2114</v>
      </c>
      <c r="F449" t="s">
        <v>2117</v>
      </c>
      <c r="G449" t="s">
        <v>2121</v>
      </c>
      <c r="H449" t="s">
        <v>2132</v>
      </c>
      <c r="I449" t="s">
        <v>2142</v>
      </c>
      <c r="J449" t="s">
        <v>2147</v>
      </c>
      <c r="K449" t="s">
        <v>2157</v>
      </c>
      <c r="L449" s="3">
        <v>2</v>
      </c>
      <c r="M449" s="2">
        <v>13828.19</v>
      </c>
      <c r="N449" s="5">
        <v>0.1</v>
      </c>
      <c r="O449" s="2">
        <v>24890.74</v>
      </c>
      <c r="P449" s="2">
        <v>3299.42</v>
      </c>
      <c r="Q449" t="s">
        <v>2168</v>
      </c>
    </row>
    <row r="450" spans="1:17">
      <c r="A450" t="s">
        <v>465</v>
      </c>
      <c r="B450" s="1">
        <v>45768</v>
      </c>
      <c r="C450" t="s">
        <v>1735</v>
      </c>
      <c r="D450" t="s">
        <v>2033</v>
      </c>
      <c r="E450" t="s">
        <v>2115</v>
      </c>
      <c r="F450" t="s">
        <v>2117</v>
      </c>
      <c r="G450" t="s">
        <v>2125</v>
      </c>
      <c r="H450" t="s">
        <v>2136</v>
      </c>
      <c r="I450" t="s">
        <v>2142</v>
      </c>
      <c r="J450" t="s">
        <v>2147</v>
      </c>
      <c r="K450" t="s">
        <v>2157</v>
      </c>
      <c r="L450" s="3">
        <v>1</v>
      </c>
      <c r="M450" s="2">
        <v>15165.18</v>
      </c>
      <c r="N450" s="5">
        <v>0</v>
      </c>
      <c r="O450" s="2">
        <v>15165.18</v>
      </c>
      <c r="P450" s="2">
        <v>2492.33</v>
      </c>
      <c r="Q450" t="s">
        <v>2168</v>
      </c>
    </row>
    <row r="451" spans="1:17">
      <c r="A451" t="s">
        <v>466</v>
      </c>
      <c r="B451" s="1">
        <v>45768</v>
      </c>
      <c r="C451" t="s">
        <v>1601</v>
      </c>
      <c r="D451" t="s">
        <v>1899</v>
      </c>
      <c r="E451" t="s">
        <v>2114</v>
      </c>
      <c r="F451" t="s">
        <v>2119</v>
      </c>
      <c r="G451" t="s">
        <v>2130</v>
      </c>
      <c r="H451" t="s">
        <v>2141</v>
      </c>
      <c r="I451" t="s">
        <v>2144</v>
      </c>
      <c r="J451" t="s">
        <v>2150</v>
      </c>
      <c r="K451" t="s">
        <v>2159</v>
      </c>
      <c r="L451" s="3">
        <v>1</v>
      </c>
      <c r="M451" s="2">
        <v>458.64</v>
      </c>
      <c r="N451" s="5">
        <v>0</v>
      </c>
      <c r="O451" s="2">
        <v>458.64</v>
      </c>
      <c r="P451" s="2">
        <v>110.8</v>
      </c>
      <c r="Q451" t="s">
        <v>2167</v>
      </c>
    </row>
    <row r="452" spans="1:17">
      <c r="A452" t="s">
        <v>467</v>
      </c>
      <c r="B452" s="1">
        <v>45768</v>
      </c>
      <c r="C452" t="s">
        <v>1751</v>
      </c>
      <c r="D452" t="s">
        <v>2049</v>
      </c>
      <c r="E452" t="s">
        <v>2114</v>
      </c>
      <c r="F452" t="s">
        <v>2116</v>
      </c>
      <c r="G452" t="s">
        <v>2127</v>
      </c>
      <c r="H452" t="s">
        <v>2138</v>
      </c>
      <c r="I452" t="s">
        <v>2144</v>
      </c>
      <c r="J452" t="s">
        <v>2147</v>
      </c>
      <c r="K452" t="s">
        <v>2155</v>
      </c>
      <c r="L452" s="3">
        <v>1</v>
      </c>
      <c r="M452" s="2">
        <v>772.53</v>
      </c>
      <c r="N452" s="5">
        <v>0.15</v>
      </c>
      <c r="O452" s="2">
        <v>656.65</v>
      </c>
      <c r="P452" s="2">
        <v>133.72999999999999</v>
      </c>
      <c r="Q452" t="s">
        <v>2169</v>
      </c>
    </row>
    <row r="453" spans="1:17">
      <c r="A453" t="s">
        <v>468</v>
      </c>
      <c r="B453" s="1">
        <v>45768</v>
      </c>
      <c r="C453" t="s">
        <v>1530</v>
      </c>
      <c r="D453" t="s">
        <v>1828</v>
      </c>
      <c r="E453" t="s">
        <v>2115</v>
      </c>
      <c r="F453" t="s">
        <v>2118</v>
      </c>
      <c r="G453" t="s">
        <v>2126</v>
      </c>
      <c r="H453" t="s">
        <v>2137</v>
      </c>
      <c r="I453" t="s">
        <v>2144</v>
      </c>
      <c r="J453" t="s">
        <v>2152</v>
      </c>
      <c r="K453" t="s">
        <v>2162</v>
      </c>
      <c r="L453" s="3">
        <v>2</v>
      </c>
      <c r="M453" s="2">
        <v>360.12</v>
      </c>
      <c r="N453" s="5">
        <v>0.1</v>
      </c>
      <c r="O453" s="2">
        <v>648.22</v>
      </c>
      <c r="P453" s="2">
        <v>153.96</v>
      </c>
      <c r="Q453" t="s">
        <v>2169</v>
      </c>
    </row>
    <row r="454" spans="1:17">
      <c r="A454" t="s">
        <v>469</v>
      </c>
      <c r="B454" s="1">
        <v>45768</v>
      </c>
      <c r="C454" t="s">
        <v>1755</v>
      </c>
      <c r="D454" t="s">
        <v>2053</v>
      </c>
      <c r="E454" t="s">
        <v>2113</v>
      </c>
      <c r="F454" t="s">
        <v>2117</v>
      </c>
      <c r="G454" t="s">
        <v>2123</v>
      </c>
      <c r="H454" t="s">
        <v>2134</v>
      </c>
      <c r="I454" t="s">
        <v>2143</v>
      </c>
      <c r="J454" t="s">
        <v>2148</v>
      </c>
      <c r="K454" t="s">
        <v>2156</v>
      </c>
      <c r="L454" s="3">
        <v>1</v>
      </c>
      <c r="M454" s="2">
        <v>1224.08</v>
      </c>
      <c r="N454" s="5">
        <v>0</v>
      </c>
      <c r="O454" s="2">
        <v>1224.08</v>
      </c>
      <c r="P454" s="2">
        <v>142.08000000000001</v>
      </c>
      <c r="Q454" t="s">
        <v>2170</v>
      </c>
    </row>
    <row r="455" spans="1:17">
      <c r="A455" t="s">
        <v>470</v>
      </c>
      <c r="B455" s="1">
        <v>45769</v>
      </c>
      <c r="C455" t="s">
        <v>1687</v>
      </c>
      <c r="D455" t="s">
        <v>1985</v>
      </c>
      <c r="E455" t="s">
        <v>2114</v>
      </c>
      <c r="F455" t="s">
        <v>2118</v>
      </c>
      <c r="G455" t="s">
        <v>2126</v>
      </c>
      <c r="H455" t="s">
        <v>2137</v>
      </c>
      <c r="I455" t="s">
        <v>2142</v>
      </c>
      <c r="J455" t="s">
        <v>2145</v>
      </c>
      <c r="K455" t="s">
        <v>2153</v>
      </c>
      <c r="L455" s="3">
        <v>2</v>
      </c>
      <c r="M455" s="2">
        <v>12245.22</v>
      </c>
      <c r="N455" s="5">
        <v>0.05</v>
      </c>
      <c r="O455" s="2">
        <v>23265.919999999998</v>
      </c>
      <c r="P455" s="2">
        <v>5594.43</v>
      </c>
      <c r="Q455" t="s">
        <v>2167</v>
      </c>
    </row>
    <row r="456" spans="1:17">
      <c r="A456" t="s">
        <v>471</v>
      </c>
      <c r="B456" s="1">
        <v>45769</v>
      </c>
      <c r="C456" t="s">
        <v>1713</v>
      </c>
      <c r="D456" t="s">
        <v>2011</v>
      </c>
      <c r="E456" t="s">
        <v>2114</v>
      </c>
      <c r="F456" t="s">
        <v>2116</v>
      </c>
      <c r="G456" t="s">
        <v>2127</v>
      </c>
      <c r="H456" t="s">
        <v>2138</v>
      </c>
      <c r="I456" t="s">
        <v>2143</v>
      </c>
      <c r="J456" t="s">
        <v>2146</v>
      </c>
      <c r="K456" t="s">
        <v>2154</v>
      </c>
      <c r="L456" s="3">
        <v>1</v>
      </c>
      <c r="M456" s="2">
        <v>41660.370000000003</v>
      </c>
      <c r="N456" s="5">
        <v>0</v>
      </c>
      <c r="O456" s="2">
        <v>41660.370000000003</v>
      </c>
      <c r="P456" s="2">
        <v>3993.64</v>
      </c>
      <c r="Q456" t="s">
        <v>2167</v>
      </c>
    </row>
    <row r="457" spans="1:17">
      <c r="A457" t="s">
        <v>472</v>
      </c>
      <c r="B457" s="1">
        <v>45769</v>
      </c>
      <c r="C457" t="s">
        <v>1616</v>
      </c>
      <c r="D457" t="s">
        <v>1914</v>
      </c>
      <c r="E457" t="s">
        <v>2115</v>
      </c>
      <c r="F457" t="s">
        <v>2117</v>
      </c>
      <c r="G457" t="s">
        <v>2123</v>
      </c>
      <c r="H457" t="s">
        <v>2134</v>
      </c>
      <c r="I457" t="s">
        <v>2144</v>
      </c>
      <c r="J457" t="s">
        <v>2152</v>
      </c>
      <c r="K457" t="s">
        <v>2162</v>
      </c>
      <c r="L457" s="3">
        <v>3</v>
      </c>
      <c r="M457" s="2">
        <v>344.27</v>
      </c>
      <c r="N457" s="5">
        <v>0.05</v>
      </c>
      <c r="O457" s="2">
        <v>981.17</v>
      </c>
      <c r="P457" s="2">
        <v>202.56</v>
      </c>
      <c r="Q457" t="s">
        <v>2169</v>
      </c>
    </row>
    <row r="458" spans="1:17">
      <c r="A458" t="s">
        <v>473</v>
      </c>
      <c r="B458" s="1">
        <v>45769</v>
      </c>
      <c r="C458" t="s">
        <v>1756</v>
      </c>
      <c r="D458" t="s">
        <v>2054</v>
      </c>
      <c r="E458" t="s">
        <v>2114</v>
      </c>
      <c r="F458" t="s">
        <v>2117</v>
      </c>
      <c r="G458" t="s">
        <v>2121</v>
      </c>
      <c r="H458" t="s">
        <v>2132</v>
      </c>
      <c r="I458" t="s">
        <v>2144</v>
      </c>
      <c r="J458" t="s">
        <v>2152</v>
      </c>
      <c r="K458" t="s">
        <v>2162</v>
      </c>
      <c r="L458" s="3">
        <v>2</v>
      </c>
      <c r="M458" s="2">
        <v>340.26</v>
      </c>
      <c r="N458" s="5">
        <v>0.1</v>
      </c>
      <c r="O458" s="2">
        <v>612.47</v>
      </c>
      <c r="P458" s="2">
        <v>173.69</v>
      </c>
      <c r="Q458" t="s">
        <v>2170</v>
      </c>
    </row>
    <row r="459" spans="1:17">
      <c r="A459" t="s">
        <v>474</v>
      </c>
      <c r="B459" s="1">
        <v>45769</v>
      </c>
      <c r="C459" t="s">
        <v>1729</v>
      </c>
      <c r="D459" t="s">
        <v>2027</v>
      </c>
      <c r="E459" t="s">
        <v>2114</v>
      </c>
      <c r="F459" t="s">
        <v>2117</v>
      </c>
      <c r="G459" t="s">
        <v>2121</v>
      </c>
      <c r="H459" t="s">
        <v>2132</v>
      </c>
      <c r="I459" t="s">
        <v>2144</v>
      </c>
      <c r="J459" t="s">
        <v>2152</v>
      </c>
      <c r="K459" t="s">
        <v>2166</v>
      </c>
      <c r="L459" s="3">
        <v>5</v>
      </c>
      <c r="M459" s="2">
        <v>622.59</v>
      </c>
      <c r="N459" s="5">
        <v>0.05</v>
      </c>
      <c r="O459" s="2">
        <v>2957.3</v>
      </c>
      <c r="P459" s="2">
        <v>892.33</v>
      </c>
      <c r="Q459" t="s">
        <v>2170</v>
      </c>
    </row>
    <row r="460" spans="1:17">
      <c r="A460" t="s">
        <v>475</v>
      </c>
      <c r="B460" s="1">
        <v>45770</v>
      </c>
      <c r="C460" t="s">
        <v>1757</v>
      </c>
      <c r="D460" t="s">
        <v>2055</v>
      </c>
      <c r="E460" t="s">
        <v>2113</v>
      </c>
      <c r="F460" t="s">
        <v>2116</v>
      </c>
      <c r="G460" t="s">
        <v>2127</v>
      </c>
      <c r="H460" t="s">
        <v>2140</v>
      </c>
      <c r="I460" t="s">
        <v>2142</v>
      </c>
      <c r="J460" t="s">
        <v>2151</v>
      </c>
      <c r="K460" t="s">
        <v>2160</v>
      </c>
      <c r="L460" s="3">
        <v>4</v>
      </c>
      <c r="M460" s="2">
        <v>8377.92</v>
      </c>
      <c r="N460" s="5">
        <v>0</v>
      </c>
      <c r="O460" s="2">
        <v>33511.68</v>
      </c>
      <c r="P460" s="2">
        <v>7451.09</v>
      </c>
      <c r="Q460" t="s">
        <v>2169</v>
      </c>
    </row>
    <row r="461" spans="1:17">
      <c r="A461" t="s">
        <v>476</v>
      </c>
      <c r="B461" s="1">
        <v>45770</v>
      </c>
      <c r="C461" t="s">
        <v>1676</v>
      </c>
      <c r="D461" t="s">
        <v>1974</v>
      </c>
      <c r="E461" t="s">
        <v>2114</v>
      </c>
      <c r="F461" t="s">
        <v>2118</v>
      </c>
      <c r="G461" t="s">
        <v>2126</v>
      </c>
      <c r="H461" t="s">
        <v>2137</v>
      </c>
      <c r="I461" t="s">
        <v>2143</v>
      </c>
      <c r="J461" t="s">
        <v>2148</v>
      </c>
      <c r="K461" t="s">
        <v>2161</v>
      </c>
      <c r="L461" s="3">
        <v>3</v>
      </c>
      <c r="M461" s="2">
        <v>1777.62</v>
      </c>
      <c r="N461" s="5">
        <v>0.1</v>
      </c>
      <c r="O461" s="2">
        <v>4799.57</v>
      </c>
      <c r="P461" s="2">
        <v>345.64</v>
      </c>
      <c r="Q461" t="s">
        <v>2169</v>
      </c>
    </row>
    <row r="462" spans="1:17">
      <c r="A462" t="s">
        <v>477</v>
      </c>
      <c r="B462" s="1">
        <v>45770</v>
      </c>
      <c r="C462" t="s">
        <v>1630</v>
      </c>
      <c r="D462" t="s">
        <v>1928</v>
      </c>
      <c r="E462" t="s">
        <v>2114</v>
      </c>
      <c r="F462" t="s">
        <v>2119</v>
      </c>
      <c r="G462" t="s">
        <v>2124</v>
      </c>
      <c r="H462" t="s">
        <v>2135</v>
      </c>
      <c r="I462" t="s">
        <v>2143</v>
      </c>
      <c r="J462" t="s">
        <v>2148</v>
      </c>
      <c r="K462" t="s">
        <v>2156</v>
      </c>
      <c r="L462" s="3">
        <v>2</v>
      </c>
      <c r="M462" s="2">
        <v>1254.19</v>
      </c>
      <c r="N462" s="5">
        <v>0.05</v>
      </c>
      <c r="O462" s="2">
        <v>2382.96</v>
      </c>
      <c r="P462" s="2">
        <v>470.71</v>
      </c>
      <c r="Q462" t="s">
        <v>2170</v>
      </c>
    </row>
    <row r="463" spans="1:17">
      <c r="A463" t="s">
        <v>478</v>
      </c>
      <c r="B463" s="1">
        <v>45770</v>
      </c>
      <c r="C463" t="s">
        <v>1574</v>
      </c>
      <c r="D463" t="s">
        <v>1872</v>
      </c>
      <c r="E463" t="s">
        <v>2113</v>
      </c>
      <c r="F463" t="s">
        <v>2118</v>
      </c>
      <c r="G463" t="s">
        <v>2128</v>
      </c>
      <c r="H463" t="s">
        <v>2128</v>
      </c>
      <c r="I463" t="s">
        <v>2143</v>
      </c>
      <c r="J463" t="s">
        <v>2146</v>
      </c>
      <c r="K463" t="s">
        <v>2154</v>
      </c>
      <c r="L463" s="3">
        <v>1</v>
      </c>
      <c r="M463" s="2">
        <v>43823.41</v>
      </c>
      <c r="N463" s="5">
        <v>0.05</v>
      </c>
      <c r="O463" s="2">
        <v>41632.239999999998</v>
      </c>
      <c r="P463" s="2">
        <v>4309.9799999999996</v>
      </c>
      <c r="Q463" t="s">
        <v>2168</v>
      </c>
    </row>
    <row r="464" spans="1:17">
      <c r="A464" t="s">
        <v>479</v>
      </c>
      <c r="B464" s="1">
        <v>45770</v>
      </c>
      <c r="C464" t="s">
        <v>1740</v>
      </c>
      <c r="D464" t="s">
        <v>2038</v>
      </c>
      <c r="E464" t="s">
        <v>2113</v>
      </c>
      <c r="F464" t="s">
        <v>2116</v>
      </c>
      <c r="G464" t="s">
        <v>2127</v>
      </c>
      <c r="H464" t="s">
        <v>2140</v>
      </c>
      <c r="I464" t="s">
        <v>2142</v>
      </c>
      <c r="J464" t="s">
        <v>2145</v>
      </c>
      <c r="K464" t="s">
        <v>2165</v>
      </c>
      <c r="L464" s="3">
        <v>4</v>
      </c>
      <c r="M464" s="2">
        <v>6437.93</v>
      </c>
      <c r="N464" s="5">
        <v>0.15</v>
      </c>
      <c r="O464" s="2">
        <v>21888.959999999999</v>
      </c>
      <c r="P464" s="2">
        <v>4709.05</v>
      </c>
      <c r="Q464" t="s">
        <v>2170</v>
      </c>
    </row>
    <row r="465" spans="1:17">
      <c r="A465" t="s">
        <v>480</v>
      </c>
      <c r="B465" s="1">
        <v>45771</v>
      </c>
      <c r="C465" t="s">
        <v>1748</v>
      </c>
      <c r="D465" t="s">
        <v>2046</v>
      </c>
      <c r="E465" t="s">
        <v>2114</v>
      </c>
      <c r="F465" t="s">
        <v>2119</v>
      </c>
      <c r="G465" t="s">
        <v>2130</v>
      </c>
      <c r="H465" t="s">
        <v>2141</v>
      </c>
      <c r="I465" t="s">
        <v>2142</v>
      </c>
      <c r="J465" t="s">
        <v>2145</v>
      </c>
      <c r="K465" t="s">
        <v>2165</v>
      </c>
      <c r="L465" s="3">
        <v>4</v>
      </c>
      <c r="M465" s="2">
        <v>6346.11</v>
      </c>
      <c r="N465" s="5">
        <v>0</v>
      </c>
      <c r="O465" s="2">
        <v>25384.44</v>
      </c>
      <c r="P465" s="2">
        <v>3048.79</v>
      </c>
      <c r="Q465" t="s">
        <v>2167</v>
      </c>
    </row>
    <row r="466" spans="1:17">
      <c r="A466" t="s">
        <v>481</v>
      </c>
      <c r="B466" s="1">
        <v>45771</v>
      </c>
      <c r="C466" t="s">
        <v>1602</v>
      </c>
      <c r="D466" t="s">
        <v>1900</v>
      </c>
      <c r="E466" t="s">
        <v>2113</v>
      </c>
      <c r="F466" t="s">
        <v>2116</v>
      </c>
      <c r="G466" t="s">
        <v>2127</v>
      </c>
      <c r="H466" t="s">
        <v>2140</v>
      </c>
      <c r="I466" t="s">
        <v>2142</v>
      </c>
      <c r="J466" t="s">
        <v>2145</v>
      </c>
      <c r="K466" t="s">
        <v>2153</v>
      </c>
      <c r="L466" s="3">
        <v>1</v>
      </c>
      <c r="M466" s="2">
        <v>11820</v>
      </c>
      <c r="N466" s="5">
        <v>0.2</v>
      </c>
      <c r="O466" s="2">
        <v>9456</v>
      </c>
      <c r="P466" s="2">
        <v>1778.39</v>
      </c>
      <c r="Q466" t="s">
        <v>2170</v>
      </c>
    </row>
    <row r="467" spans="1:17">
      <c r="A467" t="s">
        <v>482</v>
      </c>
      <c r="B467" s="1">
        <v>45771</v>
      </c>
      <c r="C467" t="s">
        <v>1584</v>
      </c>
      <c r="D467" t="s">
        <v>1882</v>
      </c>
      <c r="E467" t="s">
        <v>2114</v>
      </c>
      <c r="F467" t="s">
        <v>2117</v>
      </c>
      <c r="G467" t="s">
        <v>2121</v>
      </c>
      <c r="H467" t="s">
        <v>2132</v>
      </c>
      <c r="I467" t="s">
        <v>2142</v>
      </c>
      <c r="J467" t="s">
        <v>2145</v>
      </c>
      <c r="K467" t="s">
        <v>2153</v>
      </c>
      <c r="L467" s="3">
        <v>3</v>
      </c>
      <c r="M467" s="2">
        <v>11780.11</v>
      </c>
      <c r="N467" s="5">
        <v>0.15</v>
      </c>
      <c r="O467" s="2">
        <v>30039.279999999999</v>
      </c>
      <c r="P467" s="2">
        <v>6253.23</v>
      </c>
      <c r="Q467" t="s">
        <v>2168</v>
      </c>
    </row>
    <row r="468" spans="1:17">
      <c r="A468" t="s">
        <v>483</v>
      </c>
      <c r="B468" s="1">
        <v>45772</v>
      </c>
      <c r="C468" t="s">
        <v>1758</v>
      </c>
      <c r="D468" t="s">
        <v>2056</v>
      </c>
      <c r="E468" t="s">
        <v>2114</v>
      </c>
      <c r="F468" t="s">
        <v>2117</v>
      </c>
      <c r="G468" t="s">
        <v>2121</v>
      </c>
      <c r="H468" t="s">
        <v>2132</v>
      </c>
      <c r="I468" t="s">
        <v>2144</v>
      </c>
      <c r="J468" t="s">
        <v>2147</v>
      </c>
      <c r="K468" t="s">
        <v>2155</v>
      </c>
      <c r="L468" s="3">
        <v>1</v>
      </c>
      <c r="M468" s="2">
        <v>736.09</v>
      </c>
      <c r="N468" s="5">
        <v>0.1</v>
      </c>
      <c r="O468" s="2">
        <v>662.48</v>
      </c>
      <c r="P468" s="2">
        <v>92.58</v>
      </c>
      <c r="Q468" t="s">
        <v>2167</v>
      </c>
    </row>
    <row r="469" spans="1:17">
      <c r="A469" t="s">
        <v>484</v>
      </c>
      <c r="B469" s="1">
        <v>45772</v>
      </c>
      <c r="C469" t="s">
        <v>1618</v>
      </c>
      <c r="D469" t="s">
        <v>1916</v>
      </c>
      <c r="E469" t="s">
        <v>2114</v>
      </c>
      <c r="F469" t="s">
        <v>2117</v>
      </c>
      <c r="G469" t="s">
        <v>2123</v>
      </c>
      <c r="H469" t="s">
        <v>2134</v>
      </c>
      <c r="I469" t="s">
        <v>2143</v>
      </c>
      <c r="J469" t="s">
        <v>2148</v>
      </c>
      <c r="K469" t="s">
        <v>2161</v>
      </c>
      <c r="L469" s="3">
        <v>1</v>
      </c>
      <c r="M469" s="2">
        <v>1823.94</v>
      </c>
      <c r="N469" s="5">
        <v>0.1</v>
      </c>
      <c r="O469" s="2">
        <v>1641.55</v>
      </c>
      <c r="P469" s="2">
        <v>117.12</v>
      </c>
      <c r="Q469" t="s">
        <v>2170</v>
      </c>
    </row>
    <row r="470" spans="1:17">
      <c r="A470" t="s">
        <v>485</v>
      </c>
      <c r="B470" s="1">
        <v>45772</v>
      </c>
      <c r="C470" t="s">
        <v>1759</v>
      </c>
      <c r="D470" t="s">
        <v>2057</v>
      </c>
      <c r="E470" t="s">
        <v>2114</v>
      </c>
      <c r="F470" t="s">
        <v>2117</v>
      </c>
      <c r="G470" t="s">
        <v>2121</v>
      </c>
      <c r="H470" t="s">
        <v>2132</v>
      </c>
      <c r="I470" t="s">
        <v>2143</v>
      </c>
      <c r="J470" t="s">
        <v>2148</v>
      </c>
      <c r="K470" t="s">
        <v>2161</v>
      </c>
      <c r="L470" s="3">
        <v>2</v>
      </c>
      <c r="M470" s="2">
        <v>1791.89</v>
      </c>
      <c r="N470" s="5">
        <v>0.05</v>
      </c>
      <c r="O470" s="2">
        <v>3404.59</v>
      </c>
      <c r="P470" s="2">
        <v>449.67</v>
      </c>
      <c r="Q470" t="s">
        <v>2168</v>
      </c>
    </row>
    <row r="471" spans="1:17">
      <c r="A471" t="s">
        <v>486</v>
      </c>
      <c r="B471" s="1">
        <v>45772</v>
      </c>
      <c r="C471" t="s">
        <v>1751</v>
      </c>
      <c r="D471" t="s">
        <v>2049</v>
      </c>
      <c r="E471" t="s">
        <v>2113</v>
      </c>
      <c r="F471" t="s">
        <v>2119</v>
      </c>
      <c r="G471" t="s">
        <v>2124</v>
      </c>
      <c r="H471" t="s">
        <v>2135</v>
      </c>
      <c r="I471" t="s">
        <v>2143</v>
      </c>
      <c r="J471" t="s">
        <v>2146</v>
      </c>
      <c r="K471" t="s">
        <v>2154</v>
      </c>
      <c r="L471" s="3">
        <v>1</v>
      </c>
      <c r="M471" s="2">
        <v>43741.95</v>
      </c>
      <c r="N471" s="5">
        <v>0.2</v>
      </c>
      <c r="O471" s="2">
        <v>34993.56</v>
      </c>
      <c r="P471" s="2">
        <v>96.19</v>
      </c>
      <c r="Q471" t="s">
        <v>2168</v>
      </c>
    </row>
    <row r="472" spans="1:17">
      <c r="A472" t="s">
        <v>487</v>
      </c>
      <c r="B472" s="1">
        <v>45772</v>
      </c>
      <c r="C472" t="s">
        <v>1643</v>
      </c>
      <c r="D472" t="s">
        <v>1941</v>
      </c>
      <c r="E472" t="s">
        <v>2114</v>
      </c>
      <c r="F472" t="s">
        <v>2117</v>
      </c>
      <c r="G472" t="s">
        <v>2121</v>
      </c>
      <c r="H472" t="s">
        <v>2132</v>
      </c>
      <c r="I472" t="s">
        <v>2143</v>
      </c>
      <c r="J472" t="s">
        <v>2148</v>
      </c>
      <c r="K472" t="s">
        <v>2161</v>
      </c>
      <c r="L472" s="3">
        <v>2</v>
      </c>
      <c r="M472" s="2">
        <v>1868.7</v>
      </c>
      <c r="N472" s="5">
        <v>0.1</v>
      </c>
      <c r="O472" s="2">
        <v>3363.66</v>
      </c>
      <c r="P472" s="2">
        <v>239.3</v>
      </c>
      <c r="Q472" t="s">
        <v>2170</v>
      </c>
    </row>
    <row r="473" spans="1:17">
      <c r="A473" t="s">
        <v>488</v>
      </c>
      <c r="B473" s="1">
        <v>45773</v>
      </c>
      <c r="C473" t="s">
        <v>1682</v>
      </c>
      <c r="D473" t="s">
        <v>1980</v>
      </c>
      <c r="E473" t="s">
        <v>2115</v>
      </c>
      <c r="F473" t="s">
        <v>2119</v>
      </c>
      <c r="G473" t="s">
        <v>2124</v>
      </c>
      <c r="H473" t="s">
        <v>2135</v>
      </c>
      <c r="I473" t="s">
        <v>2142</v>
      </c>
      <c r="J473" t="s">
        <v>2147</v>
      </c>
      <c r="K473" t="s">
        <v>2157</v>
      </c>
      <c r="L473" s="3">
        <v>4</v>
      </c>
      <c r="M473" s="2">
        <v>13934.58</v>
      </c>
      <c r="N473" s="5">
        <v>0.05</v>
      </c>
      <c r="O473" s="2">
        <v>52951.4</v>
      </c>
      <c r="P473" s="2">
        <v>7737.83</v>
      </c>
      <c r="Q473" t="s">
        <v>2167</v>
      </c>
    </row>
    <row r="474" spans="1:17">
      <c r="A474" t="s">
        <v>489</v>
      </c>
      <c r="B474" s="1">
        <v>45773</v>
      </c>
      <c r="C474" t="s">
        <v>1617</v>
      </c>
      <c r="D474" t="s">
        <v>1915</v>
      </c>
      <c r="E474" t="s">
        <v>2113</v>
      </c>
      <c r="F474" t="s">
        <v>2116</v>
      </c>
      <c r="G474" t="s">
        <v>2127</v>
      </c>
      <c r="H474" t="s">
        <v>2138</v>
      </c>
      <c r="I474" t="s">
        <v>2144</v>
      </c>
      <c r="J474" t="s">
        <v>2152</v>
      </c>
      <c r="K474" t="s">
        <v>2166</v>
      </c>
      <c r="L474" s="3">
        <v>2</v>
      </c>
      <c r="M474" s="2">
        <v>618.57000000000005</v>
      </c>
      <c r="N474" s="5">
        <v>0.15</v>
      </c>
      <c r="O474" s="2">
        <v>1051.57</v>
      </c>
      <c r="P474" s="2">
        <v>289.08</v>
      </c>
      <c r="Q474" t="s">
        <v>2169</v>
      </c>
    </row>
    <row r="475" spans="1:17">
      <c r="A475" t="s">
        <v>490</v>
      </c>
      <c r="B475" s="1">
        <v>45773</v>
      </c>
      <c r="C475" t="s">
        <v>1760</v>
      </c>
      <c r="D475" t="s">
        <v>2058</v>
      </c>
      <c r="E475" t="s">
        <v>2114</v>
      </c>
      <c r="F475" t="s">
        <v>2117</v>
      </c>
      <c r="G475" t="s">
        <v>2121</v>
      </c>
      <c r="H475" t="s">
        <v>2132</v>
      </c>
      <c r="I475" t="s">
        <v>2144</v>
      </c>
      <c r="J475" t="s">
        <v>2152</v>
      </c>
      <c r="K475" t="s">
        <v>2166</v>
      </c>
      <c r="L475" s="3">
        <v>1</v>
      </c>
      <c r="M475" s="2">
        <v>581.77</v>
      </c>
      <c r="N475" s="5">
        <v>0.1</v>
      </c>
      <c r="O475" s="2">
        <v>523.59</v>
      </c>
      <c r="P475" s="2">
        <v>140.46</v>
      </c>
      <c r="Q475" t="s">
        <v>2168</v>
      </c>
    </row>
    <row r="476" spans="1:17">
      <c r="A476" t="s">
        <v>491</v>
      </c>
      <c r="B476" s="1">
        <v>45774</v>
      </c>
      <c r="C476" t="s">
        <v>1692</v>
      </c>
      <c r="D476" t="s">
        <v>1990</v>
      </c>
      <c r="E476" t="s">
        <v>2113</v>
      </c>
      <c r="F476" t="s">
        <v>2117</v>
      </c>
      <c r="G476" t="s">
        <v>2125</v>
      </c>
      <c r="H476" t="s">
        <v>2136</v>
      </c>
      <c r="I476" t="s">
        <v>2144</v>
      </c>
      <c r="J476" t="s">
        <v>2152</v>
      </c>
      <c r="K476" t="s">
        <v>2162</v>
      </c>
      <c r="L476" s="3">
        <v>3</v>
      </c>
      <c r="M476" s="2">
        <v>345.79</v>
      </c>
      <c r="N476" s="5">
        <v>0.05</v>
      </c>
      <c r="O476" s="2">
        <v>985.5</v>
      </c>
      <c r="P476" s="2">
        <v>312.92</v>
      </c>
      <c r="Q476" t="s">
        <v>2170</v>
      </c>
    </row>
    <row r="477" spans="1:17">
      <c r="A477" t="s">
        <v>492</v>
      </c>
      <c r="B477" s="1">
        <v>45774</v>
      </c>
      <c r="C477" t="s">
        <v>1729</v>
      </c>
      <c r="D477" t="s">
        <v>2027</v>
      </c>
      <c r="E477" t="s">
        <v>2115</v>
      </c>
      <c r="F477" t="s">
        <v>2118</v>
      </c>
      <c r="G477" t="s">
        <v>2128</v>
      </c>
      <c r="H477" t="s">
        <v>2128</v>
      </c>
      <c r="I477" t="s">
        <v>2143</v>
      </c>
      <c r="J477" t="s">
        <v>2148</v>
      </c>
      <c r="K477" t="s">
        <v>2161</v>
      </c>
      <c r="L477" s="3">
        <v>5</v>
      </c>
      <c r="M477" s="2">
        <v>1802.29</v>
      </c>
      <c r="N477" s="5">
        <v>0.05</v>
      </c>
      <c r="O477" s="2">
        <v>8560.8799999999992</v>
      </c>
      <c r="P477" s="2">
        <v>1151.21</v>
      </c>
      <c r="Q477" t="s">
        <v>2169</v>
      </c>
    </row>
    <row r="478" spans="1:17">
      <c r="A478" t="s">
        <v>493</v>
      </c>
      <c r="B478" s="1">
        <v>45774</v>
      </c>
      <c r="C478" t="s">
        <v>1676</v>
      </c>
      <c r="D478" t="s">
        <v>1974</v>
      </c>
      <c r="E478" t="s">
        <v>2114</v>
      </c>
      <c r="F478" t="s">
        <v>2119</v>
      </c>
      <c r="G478" t="s">
        <v>2130</v>
      </c>
      <c r="H478" t="s">
        <v>2141</v>
      </c>
      <c r="I478" t="s">
        <v>2142</v>
      </c>
      <c r="J478" t="s">
        <v>2145</v>
      </c>
      <c r="K478" t="s">
        <v>2153</v>
      </c>
      <c r="L478" s="3">
        <v>1</v>
      </c>
      <c r="M478" s="2">
        <v>12302.97</v>
      </c>
      <c r="N478" s="5">
        <v>0</v>
      </c>
      <c r="O478" s="2">
        <v>12302.97</v>
      </c>
      <c r="P478" s="2">
        <v>3320.99</v>
      </c>
      <c r="Q478" t="s">
        <v>2167</v>
      </c>
    </row>
    <row r="479" spans="1:17">
      <c r="A479" t="s">
        <v>494</v>
      </c>
      <c r="B479" s="1">
        <v>45774</v>
      </c>
      <c r="C479" t="s">
        <v>1537</v>
      </c>
      <c r="D479" t="s">
        <v>1835</v>
      </c>
      <c r="E479" t="s">
        <v>2113</v>
      </c>
      <c r="F479" t="s">
        <v>2119</v>
      </c>
      <c r="G479" t="s">
        <v>2130</v>
      </c>
      <c r="H479" t="s">
        <v>2141</v>
      </c>
      <c r="I479" t="s">
        <v>2143</v>
      </c>
      <c r="J479" t="s">
        <v>2146</v>
      </c>
      <c r="K479" t="s">
        <v>2164</v>
      </c>
      <c r="L479" s="3">
        <v>2</v>
      </c>
      <c r="M479" s="2">
        <v>18363.13</v>
      </c>
      <c r="N479" s="5">
        <v>0</v>
      </c>
      <c r="O479" s="2">
        <v>36726.26</v>
      </c>
      <c r="P479" s="2">
        <v>5799.26</v>
      </c>
      <c r="Q479" t="s">
        <v>2167</v>
      </c>
    </row>
    <row r="480" spans="1:17">
      <c r="A480" t="s">
        <v>495</v>
      </c>
      <c r="B480" s="1">
        <v>45775</v>
      </c>
      <c r="C480" t="s">
        <v>1554</v>
      </c>
      <c r="D480" t="s">
        <v>1852</v>
      </c>
      <c r="E480" t="s">
        <v>2114</v>
      </c>
      <c r="F480" t="s">
        <v>2117</v>
      </c>
      <c r="G480" t="s">
        <v>2125</v>
      </c>
      <c r="H480" t="s">
        <v>2136</v>
      </c>
      <c r="I480" t="s">
        <v>2142</v>
      </c>
      <c r="J480" t="s">
        <v>2151</v>
      </c>
      <c r="K480" t="s">
        <v>2160</v>
      </c>
      <c r="L480" s="3">
        <v>2</v>
      </c>
      <c r="M480" s="2">
        <v>8080.26</v>
      </c>
      <c r="N480" s="5">
        <v>0.15</v>
      </c>
      <c r="O480" s="2">
        <v>13736.44</v>
      </c>
      <c r="P480" s="2">
        <v>2735.55</v>
      </c>
      <c r="Q480" t="s">
        <v>2168</v>
      </c>
    </row>
    <row r="481" spans="1:17">
      <c r="A481" t="s">
        <v>496</v>
      </c>
      <c r="B481" s="1">
        <v>45775</v>
      </c>
      <c r="C481" t="s">
        <v>1537</v>
      </c>
      <c r="D481" t="s">
        <v>1835</v>
      </c>
      <c r="E481" t="s">
        <v>2114</v>
      </c>
      <c r="F481" t="s">
        <v>2119</v>
      </c>
      <c r="G481" t="s">
        <v>2129</v>
      </c>
      <c r="H481" t="s">
        <v>2139</v>
      </c>
      <c r="I481" t="s">
        <v>2143</v>
      </c>
      <c r="J481" t="s">
        <v>2148</v>
      </c>
      <c r="K481" t="s">
        <v>2161</v>
      </c>
      <c r="L481" s="3">
        <v>2</v>
      </c>
      <c r="M481" s="2">
        <v>1844.07</v>
      </c>
      <c r="N481" s="5">
        <v>0</v>
      </c>
      <c r="O481" s="2">
        <v>3688.14</v>
      </c>
      <c r="P481" s="2">
        <v>525.32000000000005</v>
      </c>
      <c r="Q481" t="s">
        <v>2170</v>
      </c>
    </row>
    <row r="482" spans="1:17">
      <c r="A482" t="s">
        <v>497</v>
      </c>
      <c r="B482" s="1">
        <v>45775</v>
      </c>
      <c r="C482" t="s">
        <v>1659</v>
      </c>
      <c r="D482" t="s">
        <v>1957</v>
      </c>
      <c r="E482" t="s">
        <v>2113</v>
      </c>
      <c r="F482" t="s">
        <v>2117</v>
      </c>
      <c r="G482" t="s">
        <v>2123</v>
      </c>
      <c r="H482" t="s">
        <v>2134</v>
      </c>
      <c r="I482" t="s">
        <v>2142</v>
      </c>
      <c r="J482" t="s">
        <v>2147</v>
      </c>
      <c r="K482" t="s">
        <v>2157</v>
      </c>
      <c r="L482" s="3">
        <v>1</v>
      </c>
      <c r="M482" s="2">
        <v>15038.66</v>
      </c>
      <c r="N482" s="5">
        <v>0.1</v>
      </c>
      <c r="O482" s="2">
        <v>13534.79</v>
      </c>
      <c r="P482" s="2">
        <v>1671.88</v>
      </c>
      <c r="Q482" t="s">
        <v>2170</v>
      </c>
    </row>
    <row r="483" spans="1:17">
      <c r="A483" t="s">
        <v>498</v>
      </c>
      <c r="B483" s="1">
        <v>45776</v>
      </c>
      <c r="C483" t="s">
        <v>1723</v>
      </c>
      <c r="D483" t="s">
        <v>2021</v>
      </c>
      <c r="E483" t="s">
        <v>2114</v>
      </c>
      <c r="F483" t="s">
        <v>2118</v>
      </c>
      <c r="G483" t="s">
        <v>2122</v>
      </c>
      <c r="H483" t="s">
        <v>2133</v>
      </c>
      <c r="I483" t="s">
        <v>2143</v>
      </c>
      <c r="J483" t="s">
        <v>2146</v>
      </c>
      <c r="K483" t="s">
        <v>2164</v>
      </c>
      <c r="L483" s="3">
        <v>4</v>
      </c>
      <c r="M483" s="2">
        <v>17715.27</v>
      </c>
      <c r="N483" s="5">
        <v>0.15</v>
      </c>
      <c r="O483" s="2">
        <v>60231.92</v>
      </c>
      <c r="P483" s="2">
        <v>5245.04</v>
      </c>
      <c r="Q483" t="s">
        <v>2170</v>
      </c>
    </row>
    <row r="484" spans="1:17">
      <c r="A484" t="s">
        <v>499</v>
      </c>
      <c r="B484" s="1">
        <v>45776</v>
      </c>
      <c r="C484" t="s">
        <v>1737</v>
      </c>
      <c r="D484" t="s">
        <v>2035</v>
      </c>
      <c r="E484" t="s">
        <v>2114</v>
      </c>
      <c r="F484" t="s">
        <v>2118</v>
      </c>
      <c r="G484" t="s">
        <v>2122</v>
      </c>
      <c r="H484" t="s">
        <v>2133</v>
      </c>
      <c r="I484" t="s">
        <v>2143</v>
      </c>
      <c r="J484" t="s">
        <v>2149</v>
      </c>
      <c r="K484" t="s">
        <v>2158</v>
      </c>
      <c r="L484" s="3">
        <v>3</v>
      </c>
      <c r="M484" s="2">
        <v>47544.52</v>
      </c>
      <c r="N484" s="5">
        <v>0.15</v>
      </c>
      <c r="O484" s="2">
        <v>121238.53</v>
      </c>
      <c r="P484" s="2">
        <v>4062.24</v>
      </c>
      <c r="Q484" t="s">
        <v>2169</v>
      </c>
    </row>
    <row r="485" spans="1:17">
      <c r="A485" t="s">
        <v>500</v>
      </c>
      <c r="B485" s="1">
        <v>45776</v>
      </c>
      <c r="C485" t="s">
        <v>1761</v>
      </c>
      <c r="D485" t="s">
        <v>2059</v>
      </c>
      <c r="E485" t="s">
        <v>2115</v>
      </c>
      <c r="F485" t="s">
        <v>2117</v>
      </c>
      <c r="G485" t="s">
        <v>2121</v>
      </c>
      <c r="H485" t="s">
        <v>2132</v>
      </c>
      <c r="I485" t="s">
        <v>2142</v>
      </c>
      <c r="J485" t="s">
        <v>2145</v>
      </c>
      <c r="K485" t="s">
        <v>2153</v>
      </c>
      <c r="L485" s="3">
        <v>1</v>
      </c>
      <c r="M485" s="2">
        <v>11404.21</v>
      </c>
      <c r="N485" s="5">
        <v>0.2</v>
      </c>
      <c r="O485" s="2">
        <v>9123.3700000000008</v>
      </c>
      <c r="P485" s="2">
        <v>361.13</v>
      </c>
      <c r="Q485" t="s">
        <v>2168</v>
      </c>
    </row>
    <row r="486" spans="1:17">
      <c r="A486" t="s">
        <v>501</v>
      </c>
      <c r="B486" s="1">
        <v>45776</v>
      </c>
      <c r="C486" t="s">
        <v>1596</v>
      </c>
      <c r="D486" t="s">
        <v>1894</v>
      </c>
      <c r="E486" t="s">
        <v>2114</v>
      </c>
      <c r="F486" t="s">
        <v>2118</v>
      </c>
      <c r="G486" t="s">
        <v>2122</v>
      </c>
      <c r="H486" t="s">
        <v>2133</v>
      </c>
      <c r="I486" t="s">
        <v>2144</v>
      </c>
      <c r="J486" t="s">
        <v>2147</v>
      </c>
      <c r="K486" t="s">
        <v>2155</v>
      </c>
      <c r="L486" s="3">
        <v>3</v>
      </c>
      <c r="M486" s="2">
        <v>765.33</v>
      </c>
      <c r="N486" s="5">
        <v>0.15</v>
      </c>
      <c r="O486" s="2">
        <v>1951.59</v>
      </c>
      <c r="P486" s="2">
        <v>571.85</v>
      </c>
      <c r="Q486" t="s">
        <v>2169</v>
      </c>
    </row>
    <row r="487" spans="1:17">
      <c r="A487" t="s">
        <v>502</v>
      </c>
      <c r="B487" s="1">
        <v>45776</v>
      </c>
      <c r="C487" t="s">
        <v>1718</v>
      </c>
      <c r="D487" t="s">
        <v>2016</v>
      </c>
      <c r="E487" t="s">
        <v>2114</v>
      </c>
      <c r="F487" t="s">
        <v>2117</v>
      </c>
      <c r="G487" t="s">
        <v>2121</v>
      </c>
      <c r="H487" t="s">
        <v>2132</v>
      </c>
      <c r="I487" t="s">
        <v>2144</v>
      </c>
      <c r="J487" t="s">
        <v>2147</v>
      </c>
      <c r="K487" t="s">
        <v>2155</v>
      </c>
      <c r="L487" s="3">
        <v>4</v>
      </c>
      <c r="M487" s="2">
        <v>727.23</v>
      </c>
      <c r="N487" s="5">
        <v>0.15</v>
      </c>
      <c r="O487" s="2">
        <v>2472.58</v>
      </c>
      <c r="P487" s="2">
        <v>629.22</v>
      </c>
      <c r="Q487" t="s">
        <v>2168</v>
      </c>
    </row>
    <row r="488" spans="1:17">
      <c r="A488" t="s">
        <v>503</v>
      </c>
      <c r="B488" s="1">
        <v>45776</v>
      </c>
      <c r="C488" t="s">
        <v>1762</v>
      </c>
      <c r="D488" t="s">
        <v>2060</v>
      </c>
      <c r="E488" t="s">
        <v>2113</v>
      </c>
      <c r="F488" t="s">
        <v>2119</v>
      </c>
      <c r="G488" t="s">
        <v>2130</v>
      </c>
      <c r="H488" t="s">
        <v>2141</v>
      </c>
      <c r="I488" t="s">
        <v>2144</v>
      </c>
      <c r="J488" t="s">
        <v>2150</v>
      </c>
      <c r="K488" t="s">
        <v>2159</v>
      </c>
      <c r="L488" s="3">
        <v>2</v>
      </c>
      <c r="M488" s="2">
        <v>435.24</v>
      </c>
      <c r="N488" s="5">
        <v>0.15</v>
      </c>
      <c r="O488" s="2">
        <v>739.91</v>
      </c>
      <c r="P488" s="2">
        <v>139.03</v>
      </c>
      <c r="Q488" t="s">
        <v>2168</v>
      </c>
    </row>
    <row r="489" spans="1:17">
      <c r="A489" t="s">
        <v>504</v>
      </c>
      <c r="B489" s="1">
        <v>45777</v>
      </c>
      <c r="C489" t="s">
        <v>1594</v>
      </c>
      <c r="D489" t="s">
        <v>1892</v>
      </c>
      <c r="E489" t="s">
        <v>2114</v>
      </c>
      <c r="F489" t="s">
        <v>2119</v>
      </c>
      <c r="G489" t="s">
        <v>2130</v>
      </c>
      <c r="H489" t="s">
        <v>2141</v>
      </c>
      <c r="I489" t="s">
        <v>2142</v>
      </c>
      <c r="J489" t="s">
        <v>2145</v>
      </c>
      <c r="K489" t="s">
        <v>2165</v>
      </c>
      <c r="L489" s="3">
        <v>5</v>
      </c>
      <c r="M489" s="2">
        <v>6373.09</v>
      </c>
      <c r="N489" s="5">
        <v>0.1</v>
      </c>
      <c r="O489" s="2">
        <v>28678.91</v>
      </c>
      <c r="P489" s="2">
        <v>6758.62</v>
      </c>
      <c r="Q489" t="s">
        <v>2169</v>
      </c>
    </row>
    <row r="490" spans="1:17">
      <c r="A490" t="s">
        <v>505</v>
      </c>
      <c r="B490" s="1">
        <v>45778</v>
      </c>
      <c r="C490" t="s">
        <v>1652</v>
      </c>
      <c r="D490" t="s">
        <v>1950</v>
      </c>
      <c r="E490" t="s">
        <v>2114</v>
      </c>
      <c r="F490" t="s">
        <v>2117</v>
      </c>
      <c r="G490" t="s">
        <v>2125</v>
      </c>
      <c r="H490" t="s">
        <v>2136</v>
      </c>
      <c r="I490" t="s">
        <v>2143</v>
      </c>
      <c r="J490" t="s">
        <v>2146</v>
      </c>
      <c r="K490" t="s">
        <v>2164</v>
      </c>
      <c r="L490" s="3">
        <v>1</v>
      </c>
      <c r="M490" s="2">
        <v>17573.189999999999</v>
      </c>
      <c r="N490" s="5">
        <v>0</v>
      </c>
      <c r="O490" s="2">
        <v>17573.189999999999</v>
      </c>
      <c r="P490" s="2">
        <v>1493.81</v>
      </c>
      <c r="Q490" t="s">
        <v>2169</v>
      </c>
    </row>
    <row r="491" spans="1:17">
      <c r="A491" t="s">
        <v>506</v>
      </c>
      <c r="B491" s="1">
        <v>45778</v>
      </c>
      <c r="C491" t="s">
        <v>1618</v>
      </c>
      <c r="D491" t="s">
        <v>1916</v>
      </c>
      <c r="E491" t="s">
        <v>2115</v>
      </c>
      <c r="F491" t="s">
        <v>2119</v>
      </c>
      <c r="G491" t="s">
        <v>2130</v>
      </c>
      <c r="H491" t="s">
        <v>2141</v>
      </c>
      <c r="I491" t="s">
        <v>2144</v>
      </c>
      <c r="J491" t="s">
        <v>2152</v>
      </c>
      <c r="K491" t="s">
        <v>2162</v>
      </c>
      <c r="L491" s="3">
        <v>2</v>
      </c>
      <c r="M491" s="2">
        <v>366.2</v>
      </c>
      <c r="N491" s="5">
        <v>0.1</v>
      </c>
      <c r="O491" s="2">
        <v>659.16</v>
      </c>
      <c r="P491" s="2">
        <v>194.27</v>
      </c>
      <c r="Q491" t="s">
        <v>2168</v>
      </c>
    </row>
    <row r="492" spans="1:17">
      <c r="A492" t="s">
        <v>507</v>
      </c>
      <c r="B492" s="1">
        <v>45778</v>
      </c>
      <c r="C492" t="s">
        <v>1714</v>
      </c>
      <c r="D492" t="s">
        <v>2012</v>
      </c>
      <c r="E492" t="s">
        <v>2114</v>
      </c>
      <c r="F492" t="s">
        <v>2118</v>
      </c>
      <c r="G492" t="s">
        <v>2128</v>
      </c>
      <c r="H492" t="s">
        <v>2128</v>
      </c>
      <c r="I492" t="s">
        <v>2143</v>
      </c>
      <c r="J492" t="s">
        <v>2146</v>
      </c>
      <c r="K492" t="s">
        <v>2164</v>
      </c>
      <c r="L492" s="3">
        <v>1</v>
      </c>
      <c r="M492" s="2">
        <v>17852.349999999999</v>
      </c>
      <c r="N492" s="5">
        <v>0</v>
      </c>
      <c r="O492" s="2">
        <v>17852.349999999999</v>
      </c>
      <c r="P492" s="2">
        <v>3784.84</v>
      </c>
      <c r="Q492" t="s">
        <v>2170</v>
      </c>
    </row>
    <row r="493" spans="1:17">
      <c r="A493" t="s">
        <v>508</v>
      </c>
      <c r="B493" s="1">
        <v>45778</v>
      </c>
      <c r="C493" t="s">
        <v>1647</v>
      </c>
      <c r="D493" t="s">
        <v>1945</v>
      </c>
      <c r="E493" t="s">
        <v>2115</v>
      </c>
      <c r="F493" t="s">
        <v>2117</v>
      </c>
      <c r="G493" t="s">
        <v>2123</v>
      </c>
      <c r="H493" t="s">
        <v>2134</v>
      </c>
      <c r="I493" t="s">
        <v>2143</v>
      </c>
      <c r="J493" t="s">
        <v>2148</v>
      </c>
      <c r="K493" t="s">
        <v>2161</v>
      </c>
      <c r="L493" s="3">
        <v>3</v>
      </c>
      <c r="M493" s="2">
        <v>1783.61</v>
      </c>
      <c r="N493" s="5">
        <v>0.2</v>
      </c>
      <c r="O493" s="2">
        <v>4280.66</v>
      </c>
      <c r="P493" s="2">
        <v>554.05999999999995</v>
      </c>
      <c r="Q493" t="s">
        <v>2167</v>
      </c>
    </row>
    <row r="494" spans="1:17">
      <c r="A494" t="s">
        <v>509</v>
      </c>
      <c r="B494" s="1">
        <v>45778</v>
      </c>
      <c r="C494" t="s">
        <v>1713</v>
      </c>
      <c r="D494" t="s">
        <v>2011</v>
      </c>
      <c r="E494" t="s">
        <v>2115</v>
      </c>
      <c r="F494" t="s">
        <v>2118</v>
      </c>
      <c r="G494" t="s">
        <v>2122</v>
      </c>
      <c r="H494" t="s">
        <v>2133</v>
      </c>
      <c r="I494" t="s">
        <v>2144</v>
      </c>
      <c r="J494" t="s">
        <v>2150</v>
      </c>
      <c r="K494" t="s">
        <v>2159</v>
      </c>
      <c r="L494" s="3">
        <v>2</v>
      </c>
      <c r="M494" s="2">
        <v>468.07</v>
      </c>
      <c r="N494" s="5">
        <v>0</v>
      </c>
      <c r="O494" s="2">
        <v>936.14</v>
      </c>
      <c r="P494" s="2">
        <v>173.08</v>
      </c>
      <c r="Q494" t="s">
        <v>2169</v>
      </c>
    </row>
    <row r="495" spans="1:17">
      <c r="A495" t="s">
        <v>510</v>
      </c>
      <c r="B495" s="1">
        <v>45779</v>
      </c>
      <c r="C495" t="s">
        <v>1763</v>
      </c>
      <c r="D495" t="s">
        <v>2061</v>
      </c>
      <c r="E495" t="s">
        <v>2113</v>
      </c>
      <c r="F495" t="s">
        <v>2116</v>
      </c>
      <c r="G495" t="s">
        <v>2120</v>
      </c>
      <c r="H495" t="s">
        <v>2131</v>
      </c>
      <c r="I495" t="s">
        <v>2144</v>
      </c>
      <c r="J495" t="s">
        <v>2147</v>
      </c>
      <c r="K495" t="s">
        <v>2155</v>
      </c>
      <c r="L495" s="3">
        <v>3</v>
      </c>
      <c r="M495" s="2">
        <v>744.97</v>
      </c>
      <c r="N495" s="5">
        <v>0.05</v>
      </c>
      <c r="O495" s="2">
        <v>2123.16</v>
      </c>
      <c r="P495" s="2">
        <v>347.23</v>
      </c>
      <c r="Q495" t="s">
        <v>2169</v>
      </c>
    </row>
    <row r="496" spans="1:17">
      <c r="A496" t="s">
        <v>511</v>
      </c>
      <c r="B496" s="1">
        <v>45779</v>
      </c>
      <c r="C496" t="s">
        <v>1629</v>
      </c>
      <c r="D496" t="s">
        <v>1927</v>
      </c>
      <c r="E496" t="s">
        <v>2113</v>
      </c>
      <c r="F496" t="s">
        <v>2117</v>
      </c>
      <c r="G496" t="s">
        <v>2121</v>
      </c>
      <c r="H496" t="s">
        <v>2132</v>
      </c>
      <c r="I496" t="s">
        <v>2142</v>
      </c>
      <c r="J496" t="s">
        <v>2147</v>
      </c>
      <c r="K496" t="s">
        <v>2157</v>
      </c>
      <c r="L496" s="3">
        <v>4</v>
      </c>
      <c r="M496" s="2">
        <v>14464.11</v>
      </c>
      <c r="N496" s="5">
        <v>0.1</v>
      </c>
      <c r="O496" s="2">
        <v>52070.8</v>
      </c>
      <c r="P496" s="2">
        <v>12234.19</v>
      </c>
      <c r="Q496" t="s">
        <v>2167</v>
      </c>
    </row>
    <row r="497" spans="1:17">
      <c r="A497" t="s">
        <v>512</v>
      </c>
      <c r="B497" s="1">
        <v>45779</v>
      </c>
      <c r="C497" t="s">
        <v>1764</v>
      </c>
      <c r="D497" t="s">
        <v>2062</v>
      </c>
      <c r="E497" t="s">
        <v>2114</v>
      </c>
      <c r="F497" t="s">
        <v>2118</v>
      </c>
      <c r="G497" t="s">
        <v>2128</v>
      </c>
      <c r="H497" t="s">
        <v>2128</v>
      </c>
      <c r="I497" t="s">
        <v>2142</v>
      </c>
      <c r="J497" t="s">
        <v>2151</v>
      </c>
      <c r="K497" t="s">
        <v>2160</v>
      </c>
      <c r="L497" s="3">
        <v>1</v>
      </c>
      <c r="M497" s="2">
        <v>8530.14</v>
      </c>
      <c r="N497" s="5">
        <v>0</v>
      </c>
      <c r="O497" s="2">
        <v>8530.14</v>
      </c>
      <c r="P497" s="2">
        <v>2277.7600000000002</v>
      </c>
      <c r="Q497" t="s">
        <v>2169</v>
      </c>
    </row>
    <row r="498" spans="1:17">
      <c r="A498" t="s">
        <v>513</v>
      </c>
      <c r="B498" s="1">
        <v>45779</v>
      </c>
      <c r="C498" t="s">
        <v>1765</v>
      </c>
      <c r="D498" t="s">
        <v>2063</v>
      </c>
      <c r="E498" t="s">
        <v>2114</v>
      </c>
      <c r="F498" t="s">
        <v>2118</v>
      </c>
      <c r="G498" t="s">
        <v>2122</v>
      </c>
      <c r="H498" t="s">
        <v>2133</v>
      </c>
      <c r="I498" t="s">
        <v>2143</v>
      </c>
      <c r="J498" t="s">
        <v>2149</v>
      </c>
      <c r="K498" t="s">
        <v>2163</v>
      </c>
      <c r="L498" s="3">
        <v>2</v>
      </c>
      <c r="M498" s="2">
        <v>67700.210000000006</v>
      </c>
      <c r="N498" s="5">
        <v>0.05</v>
      </c>
      <c r="O498" s="2">
        <v>128630.39999999999</v>
      </c>
      <c r="P498" s="2">
        <v>22556.22</v>
      </c>
      <c r="Q498" t="s">
        <v>2170</v>
      </c>
    </row>
    <row r="499" spans="1:17">
      <c r="A499" t="s">
        <v>514</v>
      </c>
      <c r="B499" s="1">
        <v>45780</v>
      </c>
      <c r="C499" t="s">
        <v>1569</v>
      </c>
      <c r="D499" t="s">
        <v>1867</v>
      </c>
      <c r="E499" t="s">
        <v>2113</v>
      </c>
      <c r="F499" t="s">
        <v>2119</v>
      </c>
      <c r="G499" t="s">
        <v>2129</v>
      </c>
      <c r="H499" t="s">
        <v>2139</v>
      </c>
      <c r="I499" t="s">
        <v>2143</v>
      </c>
      <c r="J499" t="s">
        <v>2146</v>
      </c>
      <c r="K499" t="s">
        <v>2154</v>
      </c>
      <c r="L499" s="3">
        <v>3</v>
      </c>
      <c r="M499" s="2">
        <v>41026.199999999997</v>
      </c>
      <c r="N499" s="5">
        <v>0.1</v>
      </c>
      <c r="O499" s="2">
        <v>110770.74</v>
      </c>
      <c r="P499" s="2">
        <v>12302.45</v>
      </c>
      <c r="Q499" t="s">
        <v>2170</v>
      </c>
    </row>
    <row r="500" spans="1:17">
      <c r="A500" t="s">
        <v>515</v>
      </c>
      <c r="B500" s="1">
        <v>45780</v>
      </c>
      <c r="C500" t="s">
        <v>1534</v>
      </c>
      <c r="D500" t="s">
        <v>1832</v>
      </c>
      <c r="E500" t="s">
        <v>2114</v>
      </c>
      <c r="F500" t="s">
        <v>2119</v>
      </c>
      <c r="G500" t="s">
        <v>2130</v>
      </c>
      <c r="H500" t="s">
        <v>2141</v>
      </c>
      <c r="I500" t="s">
        <v>2143</v>
      </c>
      <c r="J500" t="s">
        <v>2149</v>
      </c>
      <c r="K500" t="s">
        <v>2163</v>
      </c>
      <c r="L500" s="3">
        <v>1</v>
      </c>
      <c r="M500" s="2">
        <v>67712.47</v>
      </c>
      <c r="N500" s="5">
        <v>0</v>
      </c>
      <c r="O500" s="2">
        <v>67712.47</v>
      </c>
      <c r="P500" s="2">
        <v>9772.36</v>
      </c>
      <c r="Q500" t="s">
        <v>2167</v>
      </c>
    </row>
    <row r="501" spans="1:17">
      <c r="A501" t="s">
        <v>516</v>
      </c>
      <c r="B501" s="1">
        <v>45780</v>
      </c>
      <c r="C501" t="s">
        <v>1766</v>
      </c>
      <c r="D501" t="s">
        <v>2064</v>
      </c>
      <c r="E501" t="s">
        <v>2114</v>
      </c>
      <c r="F501" t="s">
        <v>2119</v>
      </c>
      <c r="G501" t="s">
        <v>2124</v>
      </c>
      <c r="H501" t="s">
        <v>2135</v>
      </c>
      <c r="I501" t="s">
        <v>2143</v>
      </c>
      <c r="J501" t="s">
        <v>2148</v>
      </c>
      <c r="K501" t="s">
        <v>2161</v>
      </c>
      <c r="L501" s="3">
        <v>3</v>
      </c>
      <c r="M501" s="2">
        <v>1753.49</v>
      </c>
      <c r="N501" s="5">
        <v>0.05</v>
      </c>
      <c r="O501" s="2">
        <v>4997.45</v>
      </c>
      <c r="P501" s="2">
        <v>832.82</v>
      </c>
      <c r="Q501" t="s">
        <v>2170</v>
      </c>
    </row>
    <row r="502" spans="1:17">
      <c r="A502" t="s">
        <v>517</v>
      </c>
      <c r="B502" s="1">
        <v>45780</v>
      </c>
      <c r="C502" t="s">
        <v>1608</v>
      </c>
      <c r="D502" t="s">
        <v>1906</v>
      </c>
      <c r="E502" t="s">
        <v>2114</v>
      </c>
      <c r="F502" t="s">
        <v>2117</v>
      </c>
      <c r="G502" t="s">
        <v>2125</v>
      </c>
      <c r="H502" t="s">
        <v>2136</v>
      </c>
      <c r="I502" t="s">
        <v>2142</v>
      </c>
      <c r="J502" t="s">
        <v>2151</v>
      </c>
      <c r="K502" t="s">
        <v>2160</v>
      </c>
      <c r="L502" s="3">
        <v>2</v>
      </c>
      <c r="M502" s="2">
        <v>8168.96</v>
      </c>
      <c r="N502" s="5">
        <v>0</v>
      </c>
      <c r="O502" s="2">
        <v>16337.92</v>
      </c>
      <c r="P502" s="2">
        <v>2534.0500000000002</v>
      </c>
      <c r="Q502" t="s">
        <v>2170</v>
      </c>
    </row>
    <row r="503" spans="1:17">
      <c r="A503" t="s">
        <v>518</v>
      </c>
      <c r="B503" s="1">
        <v>45781</v>
      </c>
      <c r="C503" t="s">
        <v>1767</v>
      </c>
      <c r="D503" t="s">
        <v>2065</v>
      </c>
      <c r="E503" t="s">
        <v>2115</v>
      </c>
      <c r="F503" t="s">
        <v>2116</v>
      </c>
      <c r="G503" t="s">
        <v>2120</v>
      </c>
      <c r="H503" t="s">
        <v>2131</v>
      </c>
      <c r="I503" t="s">
        <v>2142</v>
      </c>
      <c r="J503" t="s">
        <v>2151</v>
      </c>
      <c r="K503" t="s">
        <v>2160</v>
      </c>
      <c r="L503" s="3">
        <v>1</v>
      </c>
      <c r="M503" s="2">
        <v>8770.76</v>
      </c>
      <c r="N503" s="5">
        <v>0.05</v>
      </c>
      <c r="O503" s="2">
        <v>8332.2199999999993</v>
      </c>
      <c r="P503" s="2">
        <v>1383.82</v>
      </c>
      <c r="Q503" t="s">
        <v>2167</v>
      </c>
    </row>
    <row r="504" spans="1:17">
      <c r="A504" t="s">
        <v>519</v>
      </c>
      <c r="B504" s="1">
        <v>45781</v>
      </c>
      <c r="C504" t="s">
        <v>1638</v>
      </c>
      <c r="D504" t="s">
        <v>1936</v>
      </c>
      <c r="E504" t="s">
        <v>2114</v>
      </c>
      <c r="F504" t="s">
        <v>2117</v>
      </c>
      <c r="G504" t="s">
        <v>2125</v>
      </c>
      <c r="H504" t="s">
        <v>2136</v>
      </c>
      <c r="I504" t="s">
        <v>2144</v>
      </c>
      <c r="J504" t="s">
        <v>2152</v>
      </c>
      <c r="K504" t="s">
        <v>2162</v>
      </c>
      <c r="L504" s="3">
        <v>1</v>
      </c>
      <c r="M504" s="2">
        <v>340.36</v>
      </c>
      <c r="N504" s="5">
        <v>0.15</v>
      </c>
      <c r="O504" s="2">
        <v>289.31</v>
      </c>
      <c r="P504" s="2">
        <v>55.9</v>
      </c>
      <c r="Q504" t="s">
        <v>2169</v>
      </c>
    </row>
    <row r="505" spans="1:17">
      <c r="A505" t="s">
        <v>520</v>
      </c>
      <c r="B505" s="1">
        <v>45781</v>
      </c>
      <c r="C505" t="s">
        <v>1647</v>
      </c>
      <c r="D505" t="s">
        <v>1945</v>
      </c>
      <c r="E505" t="s">
        <v>2115</v>
      </c>
      <c r="F505" t="s">
        <v>2118</v>
      </c>
      <c r="G505" t="s">
        <v>2128</v>
      </c>
      <c r="H505" t="s">
        <v>2128</v>
      </c>
      <c r="I505" t="s">
        <v>2142</v>
      </c>
      <c r="J505" t="s">
        <v>2151</v>
      </c>
      <c r="K505" t="s">
        <v>2160</v>
      </c>
      <c r="L505" s="3">
        <v>1</v>
      </c>
      <c r="M505" s="2">
        <v>8669.59</v>
      </c>
      <c r="N505" s="5">
        <v>0.05</v>
      </c>
      <c r="O505" s="2">
        <v>8236.11</v>
      </c>
      <c r="P505" s="2">
        <v>1115.8</v>
      </c>
      <c r="Q505" t="s">
        <v>2169</v>
      </c>
    </row>
    <row r="506" spans="1:17">
      <c r="A506" t="s">
        <v>521</v>
      </c>
      <c r="B506" s="1">
        <v>45781</v>
      </c>
      <c r="C506" t="s">
        <v>1542</v>
      </c>
      <c r="D506" t="s">
        <v>1840</v>
      </c>
      <c r="E506" t="s">
        <v>2114</v>
      </c>
      <c r="F506" t="s">
        <v>2118</v>
      </c>
      <c r="G506" t="s">
        <v>2126</v>
      </c>
      <c r="H506" t="s">
        <v>2137</v>
      </c>
      <c r="I506" t="s">
        <v>2142</v>
      </c>
      <c r="J506" t="s">
        <v>2151</v>
      </c>
      <c r="K506" t="s">
        <v>2160</v>
      </c>
      <c r="L506" s="3">
        <v>1</v>
      </c>
      <c r="M506" s="2">
        <v>8195.82</v>
      </c>
      <c r="N506" s="5">
        <v>0.1</v>
      </c>
      <c r="O506" s="2">
        <v>7376.24</v>
      </c>
      <c r="P506" s="2">
        <v>1556.36</v>
      </c>
      <c r="Q506" t="s">
        <v>2168</v>
      </c>
    </row>
    <row r="507" spans="1:17">
      <c r="A507" t="s">
        <v>522</v>
      </c>
      <c r="B507" s="1">
        <v>45782</v>
      </c>
      <c r="C507" t="s">
        <v>1654</v>
      </c>
      <c r="D507" t="s">
        <v>1952</v>
      </c>
      <c r="E507" t="s">
        <v>2114</v>
      </c>
      <c r="F507" t="s">
        <v>2119</v>
      </c>
      <c r="G507" t="s">
        <v>2130</v>
      </c>
      <c r="H507" t="s">
        <v>2141</v>
      </c>
      <c r="I507" t="s">
        <v>2144</v>
      </c>
      <c r="J507" t="s">
        <v>2150</v>
      </c>
      <c r="K507" t="s">
        <v>2159</v>
      </c>
      <c r="L507" s="3">
        <v>1</v>
      </c>
      <c r="M507" s="2">
        <v>432.37</v>
      </c>
      <c r="N507" s="5">
        <v>0.05</v>
      </c>
      <c r="O507" s="2">
        <v>410.75</v>
      </c>
      <c r="P507" s="2">
        <v>78.83</v>
      </c>
      <c r="Q507" t="s">
        <v>2169</v>
      </c>
    </row>
    <row r="508" spans="1:17">
      <c r="A508" t="s">
        <v>523</v>
      </c>
      <c r="B508" s="1">
        <v>45782</v>
      </c>
      <c r="C508" t="s">
        <v>1768</v>
      </c>
      <c r="D508" t="s">
        <v>2066</v>
      </c>
      <c r="E508" t="s">
        <v>2113</v>
      </c>
      <c r="F508" t="s">
        <v>2119</v>
      </c>
      <c r="G508" t="s">
        <v>2130</v>
      </c>
      <c r="H508" t="s">
        <v>2141</v>
      </c>
      <c r="I508" t="s">
        <v>2142</v>
      </c>
      <c r="J508" t="s">
        <v>2151</v>
      </c>
      <c r="K508" t="s">
        <v>2160</v>
      </c>
      <c r="L508" s="3">
        <v>1</v>
      </c>
      <c r="M508" s="2">
        <v>8161.57</v>
      </c>
      <c r="N508" s="5">
        <v>0</v>
      </c>
      <c r="O508" s="2">
        <v>8161.57</v>
      </c>
      <c r="P508" s="2">
        <v>1930.69</v>
      </c>
      <c r="Q508" t="s">
        <v>2168</v>
      </c>
    </row>
    <row r="509" spans="1:17">
      <c r="A509" t="s">
        <v>524</v>
      </c>
      <c r="B509" s="1">
        <v>45782</v>
      </c>
      <c r="C509" t="s">
        <v>1728</v>
      </c>
      <c r="D509" t="s">
        <v>2026</v>
      </c>
      <c r="E509" t="s">
        <v>2114</v>
      </c>
      <c r="F509" t="s">
        <v>2117</v>
      </c>
      <c r="G509" t="s">
        <v>2123</v>
      </c>
      <c r="H509" t="s">
        <v>2134</v>
      </c>
      <c r="I509" t="s">
        <v>2143</v>
      </c>
      <c r="J509" t="s">
        <v>2148</v>
      </c>
      <c r="K509" t="s">
        <v>2161</v>
      </c>
      <c r="L509" s="3">
        <v>2</v>
      </c>
      <c r="M509" s="2">
        <v>1787.59</v>
      </c>
      <c r="N509" s="5">
        <v>0.2</v>
      </c>
      <c r="O509" s="2">
        <v>2860.14</v>
      </c>
      <c r="P509" s="2">
        <v>241.77</v>
      </c>
      <c r="Q509" t="s">
        <v>2169</v>
      </c>
    </row>
    <row r="510" spans="1:17">
      <c r="A510" t="s">
        <v>525</v>
      </c>
      <c r="B510" s="1">
        <v>45783</v>
      </c>
      <c r="C510" t="s">
        <v>1769</v>
      </c>
      <c r="D510" t="s">
        <v>2067</v>
      </c>
      <c r="E510" t="s">
        <v>2114</v>
      </c>
      <c r="F510" t="s">
        <v>2116</v>
      </c>
      <c r="G510" t="s">
        <v>2127</v>
      </c>
      <c r="H510" t="s">
        <v>2138</v>
      </c>
      <c r="I510" t="s">
        <v>2144</v>
      </c>
      <c r="J510" t="s">
        <v>2152</v>
      </c>
      <c r="K510" t="s">
        <v>2166</v>
      </c>
      <c r="L510" s="3">
        <v>5</v>
      </c>
      <c r="M510" s="2">
        <v>595.42999999999995</v>
      </c>
      <c r="N510" s="5">
        <v>0.05</v>
      </c>
      <c r="O510" s="2">
        <v>2828.29</v>
      </c>
      <c r="P510" s="2">
        <v>776.83</v>
      </c>
      <c r="Q510" t="s">
        <v>2169</v>
      </c>
    </row>
    <row r="511" spans="1:17">
      <c r="A511" t="s">
        <v>526</v>
      </c>
      <c r="B511" s="1">
        <v>45783</v>
      </c>
      <c r="C511" t="s">
        <v>1719</v>
      </c>
      <c r="D511" t="s">
        <v>2017</v>
      </c>
      <c r="E511" t="s">
        <v>2114</v>
      </c>
      <c r="F511" t="s">
        <v>2117</v>
      </c>
      <c r="G511" t="s">
        <v>2123</v>
      </c>
      <c r="H511" t="s">
        <v>2134</v>
      </c>
      <c r="I511" t="s">
        <v>2143</v>
      </c>
      <c r="J511" t="s">
        <v>2146</v>
      </c>
      <c r="K511" t="s">
        <v>2164</v>
      </c>
      <c r="L511" s="3">
        <v>1</v>
      </c>
      <c r="M511" s="2">
        <v>17263.509999999998</v>
      </c>
      <c r="N511" s="5">
        <v>0.05</v>
      </c>
      <c r="O511" s="2">
        <v>16400.330000000002</v>
      </c>
      <c r="P511" s="2">
        <v>1476.95</v>
      </c>
      <c r="Q511" t="s">
        <v>2170</v>
      </c>
    </row>
    <row r="512" spans="1:17">
      <c r="A512" t="s">
        <v>527</v>
      </c>
      <c r="B512" s="1">
        <v>45783</v>
      </c>
      <c r="C512" t="s">
        <v>1755</v>
      </c>
      <c r="D512" t="s">
        <v>2053</v>
      </c>
      <c r="E512" t="s">
        <v>2113</v>
      </c>
      <c r="F512" t="s">
        <v>2118</v>
      </c>
      <c r="G512" t="s">
        <v>2126</v>
      </c>
      <c r="H512" t="s">
        <v>2137</v>
      </c>
      <c r="I512" t="s">
        <v>2143</v>
      </c>
      <c r="J512" t="s">
        <v>2148</v>
      </c>
      <c r="K512" t="s">
        <v>2161</v>
      </c>
      <c r="L512" s="3">
        <v>4</v>
      </c>
      <c r="M512" s="2">
        <v>1858.38</v>
      </c>
      <c r="N512" s="5">
        <v>0.1</v>
      </c>
      <c r="O512" s="2">
        <v>6690.17</v>
      </c>
      <c r="P512" s="2">
        <v>814</v>
      </c>
      <c r="Q512" t="s">
        <v>2168</v>
      </c>
    </row>
    <row r="513" spans="1:17">
      <c r="A513" t="s">
        <v>528</v>
      </c>
      <c r="B513" s="1">
        <v>45783</v>
      </c>
      <c r="C513" t="s">
        <v>1590</v>
      </c>
      <c r="D513" t="s">
        <v>1888</v>
      </c>
      <c r="E513" t="s">
        <v>2114</v>
      </c>
      <c r="F513" t="s">
        <v>2118</v>
      </c>
      <c r="G513" t="s">
        <v>2126</v>
      </c>
      <c r="H513" t="s">
        <v>2137</v>
      </c>
      <c r="I513" t="s">
        <v>2143</v>
      </c>
      <c r="J513" t="s">
        <v>2149</v>
      </c>
      <c r="K513" t="s">
        <v>2158</v>
      </c>
      <c r="L513" s="3">
        <v>1</v>
      </c>
      <c r="M513" s="2">
        <v>46403.96</v>
      </c>
      <c r="N513" s="5">
        <v>0</v>
      </c>
      <c r="O513" s="2">
        <v>46403.96</v>
      </c>
      <c r="P513" s="2">
        <v>4669.1000000000004</v>
      </c>
      <c r="Q513" t="s">
        <v>2167</v>
      </c>
    </row>
    <row r="514" spans="1:17">
      <c r="A514" t="s">
        <v>529</v>
      </c>
      <c r="B514" s="1">
        <v>45783</v>
      </c>
      <c r="C514" t="s">
        <v>1761</v>
      </c>
      <c r="D514" t="s">
        <v>2059</v>
      </c>
      <c r="E514" t="s">
        <v>2114</v>
      </c>
      <c r="F514" t="s">
        <v>2118</v>
      </c>
      <c r="G514" t="s">
        <v>2126</v>
      </c>
      <c r="H514" t="s">
        <v>2137</v>
      </c>
      <c r="I514" t="s">
        <v>2142</v>
      </c>
      <c r="J514" t="s">
        <v>2147</v>
      </c>
      <c r="K514" t="s">
        <v>2157</v>
      </c>
      <c r="L514" s="3">
        <v>3</v>
      </c>
      <c r="M514" s="2">
        <v>14134.21</v>
      </c>
      <c r="N514" s="5">
        <v>0.15</v>
      </c>
      <c r="O514" s="2">
        <v>36042.239999999998</v>
      </c>
      <c r="P514" s="2">
        <v>7472.28</v>
      </c>
      <c r="Q514" t="s">
        <v>2168</v>
      </c>
    </row>
    <row r="515" spans="1:17">
      <c r="A515" t="s">
        <v>530</v>
      </c>
      <c r="B515" s="1">
        <v>45783</v>
      </c>
      <c r="C515" t="s">
        <v>1770</v>
      </c>
      <c r="D515" t="s">
        <v>2068</v>
      </c>
      <c r="E515" t="s">
        <v>2113</v>
      </c>
      <c r="F515" t="s">
        <v>2119</v>
      </c>
      <c r="G515" t="s">
        <v>2130</v>
      </c>
      <c r="H515" t="s">
        <v>2141</v>
      </c>
      <c r="I515" t="s">
        <v>2142</v>
      </c>
      <c r="J515" t="s">
        <v>2145</v>
      </c>
      <c r="K515" t="s">
        <v>2165</v>
      </c>
      <c r="L515" s="3">
        <v>3</v>
      </c>
      <c r="M515" s="2">
        <v>6577.46</v>
      </c>
      <c r="N515" s="5">
        <v>0.15</v>
      </c>
      <c r="O515" s="2">
        <v>16772.52</v>
      </c>
      <c r="P515" s="2">
        <v>3541.33</v>
      </c>
      <c r="Q515" t="s">
        <v>2170</v>
      </c>
    </row>
    <row r="516" spans="1:17">
      <c r="A516" t="s">
        <v>531</v>
      </c>
      <c r="B516" s="1">
        <v>45783</v>
      </c>
      <c r="C516" t="s">
        <v>1771</v>
      </c>
      <c r="D516" t="s">
        <v>2069</v>
      </c>
      <c r="E516" t="s">
        <v>2113</v>
      </c>
      <c r="F516" t="s">
        <v>2118</v>
      </c>
      <c r="G516" t="s">
        <v>2128</v>
      </c>
      <c r="H516" t="s">
        <v>2128</v>
      </c>
      <c r="I516" t="s">
        <v>2144</v>
      </c>
      <c r="J516" t="s">
        <v>2152</v>
      </c>
      <c r="K516" t="s">
        <v>2166</v>
      </c>
      <c r="L516" s="3">
        <v>2</v>
      </c>
      <c r="M516" s="2">
        <v>570.36</v>
      </c>
      <c r="N516" s="5">
        <v>0.1</v>
      </c>
      <c r="O516" s="2">
        <v>1026.6500000000001</v>
      </c>
      <c r="P516" s="2">
        <v>243.63</v>
      </c>
      <c r="Q516" t="s">
        <v>2170</v>
      </c>
    </row>
    <row r="517" spans="1:17">
      <c r="A517" t="s">
        <v>532</v>
      </c>
      <c r="B517" s="1">
        <v>45783</v>
      </c>
      <c r="C517" t="s">
        <v>1711</v>
      </c>
      <c r="D517" t="s">
        <v>2009</v>
      </c>
      <c r="E517" t="s">
        <v>2113</v>
      </c>
      <c r="F517" t="s">
        <v>2117</v>
      </c>
      <c r="G517" t="s">
        <v>2123</v>
      </c>
      <c r="H517" t="s">
        <v>2134</v>
      </c>
      <c r="I517" t="s">
        <v>2142</v>
      </c>
      <c r="J517" t="s">
        <v>2145</v>
      </c>
      <c r="K517" t="s">
        <v>2153</v>
      </c>
      <c r="L517" s="3">
        <v>3</v>
      </c>
      <c r="M517" s="2">
        <v>12505.19</v>
      </c>
      <c r="N517" s="5">
        <v>0.05</v>
      </c>
      <c r="O517" s="2">
        <v>35639.79</v>
      </c>
      <c r="P517" s="2">
        <v>7734.65</v>
      </c>
      <c r="Q517" t="s">
        <v>2167</v>
      </c>
    </row>
    <row r="518" spans="1:17">
      <c r="A518" t="s">
        <v>533</v>
      </c>
      <c r="B518" s="1">
        <v>45785</v>
      </c>
      <c r="C518" t="s">
        <v>1652</v>
      </c>
      <c r="D518" t="s">
        <v>1950</v>
      </c>
      <c r="E518" t="s">
        <v>2114</v>
      </c>
      <c r="F518" t="s">
        <v>2117</v>
      </c>
      <c r="G518" t="s">
        <v>2123</v>
      </c>
      <c r="H518" t="s">
        <v>2134</v>
      </c>
      <c r="I518" t="s">
        <v>2144</v>
      </c>
      <c r="J518" t="s">
        <v>2147</v>
      </c>
      <c r="K518" t="s">
        <v>2155</v>
      </c>
      <c r="L518" s="3">
        <v>4</v>
      </c>
      <c r="M518" s="2">
        <v>778.06</v>
      </c>
      <c r="N518" s="5">
        <v>0</v>
      </c>
      <c r="O518" s="2">
        <v>3112.24</v>
      </c>
      <c r="P518" s="2">
        <v>485.79</v>
      </c>
      <c r="Q518" t="s">
        <v>2169</v>
      </c>
    </row>
    <row r="519" spans="1:17">
      <c r="A519" t="s">
        <v>534</v>
      </c>
      <c r="B519" s="1">
        <v>45785</v>
      </c>
      <c r="C519" t="s">
        <v>1648</v>
      </c>
      <c r="D519" t="s">
        <v>1946</v>
      </c>
      <c r="E519" t="s">
        <v>2114</v>
      </c>
      <c r="F519" t="s">
        <v>2117</v>
      </c>
      <c r="G519" t="s">
        <v>2125</v>
      </c>
      <c r="H519" t="s">
        <v>2136</v>
      </c>
      <c r="I519" t="s">
        <v>2143</v>
      </c>
      <c r="J519" t="s">
        <v>2148</v>
      </c>
      <c r="K519" t="s">
        <v>2156</v>
      </c>
      <c r="L519" s="3">
        <v>5</v>
      </c>
      <c r="M519" s="2">
        <v>1177.3399999999999</v>
      </c>
      <c r="N519" s="5">
        <v>0.1</v>
      </c>
      <c r="O519" s="2">
        <v>5298.03</v>
      </c>
      <c r="P519" s="2">
        <v>597.69000000000005</v>
      </c>
      <c r="Q519" t="s">
        <v>2167</v>
      </c>
    </row>
    <row r="520" spans="1:17">
      <c r="A520" t="s">
        <v>535</v>
      </c>
      <c r="B520" s="1">
        <v>45785</v>
      </c>
      <c r="C520" t="s">
        <v>1772</v>
      </c>
      <c r="D520" t="s">
        <v>2070</v>
      </c>
      <c r="E520" t="s">
        <v>2113</v>
      </c>
      <c r="F520" t="s">
        <v>2117</v>
      </c>
      <c r="G520" t="s">
        <v>2121</v>
      </c>
      <c r="H520" t="s">
        <v>2132</v>
      </c>
      <c r="I520" t="s">
        <v>2144</v>
      </c>
      <c r="J520" t="s">
        <v>2152</v>
      </c>
      <c r="K520" t="s">
        <v>2162</v>
      </c>
      <c r="L520" s="3">
        <v>2</v>
      </c>
      <c r="M520" s="2">
        <v>333.83</v>
      </c>
      <c r="N520" s="5">
        <v>0.05</v>
      </c>
      <c r="O520" s="2">
        <v>634.28</v>
      </c>
      <c r="P520" s="2">
        <v>214.32</v>
      </c>
      <c r="Q520" t="s">
        <v>2170</v>
      </c>
    </row>
    <row r="521" spans="1:17">
      <c r="A521" t="s">
        <v>536</v>
      </c>
      <c r="B521" s="1">
        <v>45785</v>
      </c>
      <c r="C521" t="s">
        <v>1537</v>
      </c>
      <c r="D521" t="s">
        <v>1835</v>
      </c>
      <c r="E521" t="s">
        <v>2114</v>
      </c>
      <c r="F521" t="s">
        <v>2119</v>
      </c>
      <c r="G521" t="s">
        <v>2124</v>
      </c>
      <c r="H521" t="s">
        <v>2135</v>
      </c>
      <c r="I521" t="s">
        <v>2143</v>
      </c>
      <c r="J521" t="s">
        <v>2146</v>
      </c>
      <c r="K521" t="s">
        <v>2154</v>
      </c>
      <c r="L521" s="3">
        <v>4</v>
      </c>
      <c r="M521" s="2">
        <v>41483.870000000003</v>
      </c>
      <c r="N521" s="5">
        <v>0.05</v>
      </c>
      <c r="O521" s="2">
        <v>157638.71</v>
      </c>
      <c r="P521" s="2">
        <v>30781.85</v>
      </c>
      <c r="Q521" t="s">
        <v>2167</v>
      </c>
    </row>
    <row r="522" spans="1:17">
      <c r="A522" t="s">
        <v>537</v>
      </c>
      <c r="B522" s="1">
        <v>45785</v>
      </c>
      <c r="C522" t="s">
        <v>1749</v>
      </c>
      <c r="D522" t="s">
        <v>2047</v>
      </c>
      <c r="E522" t="s">
        <v>2114</v>
      </c>
      <c r="F522" t="s">
        <v>2117</v>
      </c>
      <c r="G522" t="s">
        <v>2125</v>
      </c>
      <c r="H522" t="s">
        <v>2136</v>
      </c>
      <c r="I522" t="s">
        <v>2142</v>
      </c>
      <c r="J522" t="s">
        <v>2145</v>
      </c>
      <c r="K522" t="s">
        <v>2165</v>
      </c>
      <c r="L522" s="3">
        <v>2</v>
      </c>
      <c r="M522" s="2">
        <v>6805.43</v>
      </c>
      <c r="N522" s="5">
        <v>0</v>
      </c>
      <c r="O522" s="2">
        <v>13610.86</v>
      </c>
      <c r="P522" s="2">
        <v>3647.08</v>
      </c>
      <c r="Q522" t="s">
        <v>2170</v>
      </c>
    </row>
    <row r="523" spans="1:17">
      <c r="A523" t="s">
        <v>538</v>
      </c>
      <c r="B523" s="1">
        <v>45786</v>
      </c>
      <c r="C523" t="s">
        <v>1600</v>
      </c>
      <c r="D523" t="s">
        <v>1898</v>
      </c>
      <c r="E523" t="s">
        <v>2114</v>
      </c>
      <c r="F523" t="s">
        <v>2117</v>
      </c>
      <c r="G523" t="s">
        <v>2123</v>
      </c>
      <c r="H523" t="s">
        <v>2134</v>
      </c>
      <c r="I523" t="s">
        <v>2142</v>
      </c>
      <c r="J523" t="s">
        <v>2145</v>
      </c>
      <c r="K523" t="s">
        <v>2153</v>
      </c>
      <c r="L523" s="3">
        <v>1</v>
      </c>
      <c r="M523" s="2">
        <v>12555.18</v>
      </c>
      <c r="N523" s="5">
        <v>0</v>
      </c>
      <c r="O523" s="2">
        <v>12555.18</v>
      </c>
      <c r="P523" s="2">
        <v>3185.96</v>
      </c>
      <c r="Q523" t="s">
        <v>2169</v>
      </c>
    </row>
    <row r="524" spans="1:17">
      <c r="A524" t="s">
        <v>539</v>
      </c>
      <c r="B524" s="1">
        <v>45787</v>
      </c>
      <c r="C524" t="s">
        <v>1690</v>
      </c>
      <c r="D524" t="s">
        <v>1988</v>
      </c>
      <c r="E524" t="s">
        <v>2115</v>
      </c>
      <c r="F524" t="s">
        <v>2117</v>
      </c>
      <c r="G524" t="s">
        <v>2125</v>
      </c>
      <c r="H524" t="s">
        <v>2136</v>
      </c>
      <c r="I524" t="s">
        <v>2143</v>
      </c>
      <c r="J524" t="s">
        <v>2148</v>
      </c>
      <c r="K524" t="s">
        <v>2156</v>
      </c>
      <c r="L524" s="3">
        <v>2</v>
      </c>
      <c r="M524" s="2">
        <v>1168.69</v>
      </c>
      <c r="N524" s="5">
        <v>0.1</v>
      </c>
      <c r="O524" s="2">
        <v>2103.64</v>
      </c>
      <c r="P524" s="2">
        <v>330.54</v>
      </c>
      <c r="Q524" t="s">
        <v>2169</v>
      </c>
    </row>
    <row r="525" spans="1:17">
      <c r="A525" t="s">
        <v>540</v>
      </c>
      <c r="B525" s="1">
        <v>45787</v>
      </c>
      <c r="C525" t="s">
        <v>1654</v>
      </c>
      <c r="D525" t="s">
        <v>1952</v>
      </c>
      <c r="E525" t="s">
        <v>2114</v>
      </c>
      <c r="F525" t="s">
        <v>2117</v>
      </c>
      <c r="G525" t="s">
        <v>2123</v>
      </c>
      <c r="H525" t="s">
        <v>2134</v>
      </c>
      <c r="I525" t="s">
        <v>2143</v>
      </c>
      <c r="J525" t="s">
        <v>2149</v>
      </c>
      <c r="K525" t="s">
        <v>2163</v>
      </c>
      <c r="L525" s="3">
        <v>1</v>
      </c>
      <c r="M525" s="2">
        <v>64057.48</v>
      </c>
      <c r="N525" s="5">
        <v>0</v>
      </c>
      <c r="O525" s="2">
        <v>64057.48</v>
      </c>
      <c r="P525" s="2">
        <v>5747.19</v>
      </c>
      <c r="Q525" t="s">
        <v>2170</v>
      </c>
    </row>
    <row r="526" spans="1:17">
      <c r="A526" t="s">
        <v>541</v>
      </c>
      <c r="B526" s="1">
        <v>45787</v>
      </c>
      <c r="C526" t="s">
        <v>1588</v>
      </c>
      <c r="D526" t="s">
        <v>1886</v>
      </c>
      <c r="E526" t="s">
        <v>2115</v>
      </c>
      <c r="F526" t="s">
        <v>2116</v>
      </c>
      <c r="G526" t="s">
        <v>2120</v>
      </c>
      <c r="H526" t="s">
        <v>2131</v>
      </c>
      <c r="I526" t="s">
        <v>2144</v>
      </c>
      <c r="J526" t="s">
        <v>2152</v>
      </c>
      <c r="K526" t="s">
        <v>2162</v>
      </c>
      <c r="L526" s="3">
        <v>1</v>
      </c>
      <c r="M526" s="2">
        <v>334.48</v>
      </c>
      <c r="N526" s="5">
        <v>0</v>
      </c>
      <c r="O526" s="2">
        <v>334.48</v>
      </c>
      <c r="P526" s="2">
        <v>58.22</v>
      </c>
      <c r="Q526" t="s">
        <v>2170</v>
      </c>
    </row>
    <row r="527" spans="1:17">
      <c r="A527" t="s">
        <v>542</v>
      </c>
      <c r="B527" s="1">
        <v>45787</v>
      </c>
      <c r="C527" t="s">
        <v>1773</v>
      </c>
      <c r="D527" t="s">
        <v>2071</v>
      </c>
      <c r="E527" t="s">
        <v>2115</v>
      </c>
      <c r="F527" t="s">
        <v>2119</v>
      </c>
      <c r="G527" t="s">
        <v>2129</v>
      </c>
      <c r="H527" t="s">
        <v>2139</v>
      </c>
      <c r="I527" t="s">
        <v>2143</v>
      </c>
      <c r="J527" t="s">
        <v>2146</v>
      </c>
      <c r="K527" t="s">
        <v>2154</v>
      </c>
      <c r="L527" s="3">
        <v>1</v>
      </c>
      <c r="M527" s="2">
        <v>44028.01</v>
      </c>
      <c r="N527" s="5">
        <v>0.05</v>
      </c>
      <c r="O527" s="2">
        <v>41826.61</v>
      </c>
      <c r="P527" s="2">
        <v>6015.63</v>
      </c>
      <c r="Q527" t="s">
        <v>2170</v>
      </c>
    </row>
    <row r="528" spans="1:17">
      <c r="A528" t="s">
        <v>543</v>
      </c>
      <c r="B528" s="1">
        <v>45788</v>
      </c>
      <c r="C528" t="s">
        <v>1582</v>
      </c>
      <c r="D528" t="s">
        <v>1880</v>
      </c>
      <c r="E528" t="s">
        <v>2114</v>
      </c>
      <c r="F528" t="s">
        <v>2116</v>
      </c>
      <c r="G528" t="s">
        <v>2127</v>
      </c>
      <c r="H528" t="s">
        <v>2140</v>
      </c>
      <c r="I528" t="s">
        <v>2142</v>
      </c>
      <c r="J528" t="s">
        <v>2147</v>
      </c>
      <c r="K528" t="s">
        <v>2157</v>
      </c>
      <c r="L528" s="3">
        <v>2</v>
      </c>
      <c r="M528" s="2">
        <v>14861.51</v>
      </c>
      <c r="N528" s="5">
        <v>0.1</v>
      </c>
      <c r="O528" s="2">
        <v>26750.720000000001</v>
      </c>
      <c r="P528" s="2">
        <v>7022.37</v>
      </c>
      <c r="Q528" t="s">
        <v>2168</v>
      </c>
    </row>
    <row r="529" spans="1:17">
      <c r="A529" t="s">
        <v>544</v>
      </c>
      <c r="B529" s="1">
        <v>45788</v>
      </c>
      <c r="C529" t="s">
        <v>1774</v>
      </c>
      <c r="D529" t="s">
        <v>2072</v>
      </c>
      <c r="E529" t="s">
        <v>2114</v>
      </c>
      <c r="F529" t="s">
        <v>2117</v>
      </c>
      <c r="G529" t="s">
        <v>2121</v>
      </c>
      <c r="H529" t="s">
        <v>2132</v>
      </c>
      <c r="I529" t="s">
        <v>2143</v>
      </c>
      <c r="J529" t="s">
        <v>2149</v>
      </c>
      <c r="K529" t="s">
        <v>2158</v>
      </c>
      <c r="L529" s="3">
        <v>3</v>
      </c>
      <c r="M529" s="2">
        <v>48904.33</v>
      </c>
      <c r="N529" s="5">
        <v>0.05</v>
      </c>
      <c r="O529" s="2">
        <v>139377.34</v>
      </c>
      <c r="P529" s="2">
        <v>18508.73</v>
      </c>
      <c r="Q529" t="s">
        <v>2169</v>
      </c>
    </row>
    <row r="530" spans="1:17">
      <c r="A530" t="s">
        <v>545</v>
      </c>
      <c r="B530" s="1">
        <v>45788</v>
      </c>
      <c r="C530" t="s">
        <v>1709</v>
      </c>
      <c r="D530" t="s">
        <v>2007</v>
      </c>
      <c r="E530" t="s">
        <v>2113</v>
      </c>
      <c r="F530" t="s">
        <v>2117</v>
      </c>
      <c r="G530" t="s">
        <v>2123</v>
      </c>
      <c r="H530" t="s">
        <v>2134</v>
      </c>
      <c r="I530" t="s">
        <v>2144</v>
      </c>
      <c r="J530" t="s">
        <v>2152</v>
      </c>
      <c r="K530" t="s">
        <v>2162</v>
      </c>
      <c r="L530" s="3">
        <v>3</v>
      </c>
      <c r="M530" s="2">
        <v>356.79</v>
      </c>
      <c r="N530" s="5">
        <v>0.05</v>
      </c>
      <c r="O530" s="2">
        <v>1016.85</v>
      </c>
      <c r="P530" s="2">
        <v>321.26</v>
      </c>
      <c r="Q530" t="s">
        <v>2169</v>
      </c>
    </row>
    <row r="531" spans="1:17">
      <c r="A531" t="s">
        <v>546</v>
      </c>
      <c r="B531" s="1">
        <v>45788</v>
      </c>
      <c r="C531" t="s">
        <v>1775</v>
      </c>
      <c r="D531" t="s">
        <v>2073</v>
      </c>
      <c r="E531" t="s">
        <v>2114</v>
      </c>
      <c r="F531" t="s">
        <v>2119</v>
      </c>
      <c r="G531" t="s">
        <v>2124</v>
      </c>
      <c r="H531" t="s">
        <v>2135</v>
      </c>
      <c r="I531" t="s">
        <v>2143</v>
      </c>
      <c r="J531" t="s">
        <v>2146</v>
      </c>
      <c r="K531" t="s">
        <v>2154</v>
      </c>
      <c r="L531" s="3">
        <v>2</v>
      </c>
      <c r="M531" s="2">
        <v>41828.910000000003</v>
      </c>
      <c r="N531" s="5">
        <v>0.15</v>
      </c>
      <c r="O531" s="2">
        <v>71109.149999999994</v>
      </c>
      <c r="P531" s="2">
        <v>6866.21</v>
      </c>
      <c r="Q531" t="s">
        <v>2170</v>
      </c>
    </row>
    <row r="532" spans="1:17">
      <c r="A532" t="s">
        <v>547</v>
      </c>
      <c r="B532" s="1">
        <v>45788</v>
      </c>
      <c r="C532" t="s">
        <v>1553</v>
      </c>
      <c r="D532" t="s">
        <v>1851</v>
      </c>
      <c r="E532" t="s">
        <v>2114</v>
      </c>
      <c r="F532" t="s">
        <v>2118</v>
      </c>
      <c r="G532" t="s">
        <v>2126</v>
      </c>
      <c r="H532" t="s">
        <v>2137</v>
      </c>
      <c r="I532" t="s">
        <v>2143</v>
      </c>
      <c r="J532" t="s">
        <v>2148</v>
      </c>
      <c r="K532" t="s">
        <v>2161</v>
      </c>
      <c r="L532" s="3">
        <v>3</v>
      </c>
      <c r="M532" s="2">
        <v>1746.44</v>
      </c>
      <c r="N532" s="5">
        <v>0.15</v>
      </c>
      <c r="O532" s="2">
        <v>4453.42</v>
      </c>
      <c r="P532" s="2">
        <v>803.51</v>
      </c>
      <c r="Q532" t="s">
        <v>2167</v>
      </c>
    </row>
    <row r="533" spans="1:17">
      <c r="A533" t="s">
        <v>548</v>
      </c>
      <c r="B533" s="1">
        <v>45789</v>
      </c>
      <c r="C533" t="s">
        <v>1776</v>
      </c>
      <c r="D533" t="s">
        <v>2074</v>
      </c>
      <c r="E533" t="s">
        <v>2114</v>
      </c>
      <c r="F533" t="s">
        <v>2117</v>
      </c>
      <c r="G533" t="s">
        <v>2123</v>
      </c>
      <c r="H533" t="s">
        <v>2134</v>
      </c>
      <c r="I533" t="s">
        <v>2144</v>
      </c>
      <c r="J533" t="s">
        <v>2152</v>
      </c>
      <c r="K533" t="s">
        <v>2162</v>
      </c>
      <c r="L533" s="3">
        <v>4</v>
      </c>
      <c r="M533" s="2">
        <v>344.46</v>
      </c>
      <c r="N533" s="5">
        <v>0.1</v>
      </c>
      <c r="O533" s="2">
        <v>1240.06</v>
      </c>
      <c r="P533" s="2">
        <v>342.56</v>
      </c>
      <c r="Q533" t="s">
        <v>2170</v>
      </c>
    </row>
    <row r="534" spans="1:17">
      <c r="A534" t="s">
        <v>549</v>
      </c>
      <c r="B534" s="1">
        <v>45789</v>
      </c>
      <c r="C534" t="s">
        <v>1777</v>
      </c>
      <c r="D534" t="s">
        <v>2075</v>
      </c>
      <c r="E534" t="s">
        <v>2115</v>
      </c>
      <c r="F534" t="s">
        <v>2117</v>
      </c>
      <c r="G534" t="s">
        <v>2123</v>
      </c>
      <c r="H534" t="s">
        <v>2134</v>
      </c>
      <c r="I534" t="s">
        <v>2142</v>
      </c>
      <c r="J534" t="s">
        <v>2145</v>
      </c>
      <c r="K534" t="s">
        <v>2165</v>
      </c>
      <c r="L534" s="3">
        <v>3</v>
      </c>
      <c r="M534" s="2">
        <v>6654.99</v>
      </c>
      <c r="N534" s="5">
        <v>0.1</v>
      </c>
      <c r="O534" s="2">
        <v>17968.47</v>
      </c>
      <c r="P534" s="2">
        <v>4320.68</v>
      </c>
      <c r="Q534" t="s">
        <v>2169</v>
      </c>
    </row>
    <row r="535" spans="1:17">
      <c r="A535" t="s">
        <v>550</v>
      </c>
      <c r="B535" s="1">
        <v>45789</v>
      </c>
      <c r="C535" t="s">
        <v>1676</v>
      </c>
      <c r="D535" t="s">
        <v>1974</v>
      </c>
      <c r="E535" t="s">
        <v>2114</v>
      </c>
      <c r="F535" t="s">
        <v>2117</v>
      </c>
      <c r="G535" t="s">
        <v>2121</v>
      </c>
      <c r="H535" t="s">
        <v>2132</v>
      </c>
      <c r="I535" t="s">
        <v>2143</v>
      </c>
      <c r="J535" t="s">
        <v>2148</v>
      </c>
      <c r="K535" t="s">
        <v>2156</v>
      </c>
      <c r="L535" s="3">
        <v>1</v>
      </c>
      <c r="M535" s="2">
        <v>1143.73</v>
      </c>
      <c r="N535" s="5">
        <v>0.15</v>
      </c>
      <c r="O535" s="2">
        <v>972.17</v>
      </c>
      <c r="P535" s="2">
        <v>183.22</v>
      </c>
      <c r="Q535" t="s">
        <v>2170</v>
      </c>
    </row>
    <row r="536" spans="1:17">
      <c r="A536" t="s">
        <v>551</v>
      </c>
      <c r="B536" s="1">
        <v>45789</v>
      </c>
      <c r="C536" t="s">
        <v>1612</v>
      </c>
      <c r="D536" t="s">
        <v>1910</v>
      </c>
      <c r="E536" t="s">
        <v>2113</v>
      </c>
      <c r="F536" t="s">
        <v>2116</v>
      </c>
      <c r="G536" t="s">
        <v>2127</v>
      </c>
      <c r="H536" t="s">
        <v>2140</v>
      </c>
      <c r="I536" t="s">
        <v>2143</v>
      </c>
      <c r="J536" t="s">
        <v>2146</v>
      </c>
      <c r="K536" t="s">
        <v>2154</v>
      </c>
      <c r="L536" s="3">
        <v>1</v>
      </c>
      <c r="M536" s="2">
        <v>43655.199999999997</v>
      </c>
      <c r="N536" s="5">
        <v>0.05</v>
      </c>
      <c r="O536" s="2">
        <v>41472.44</v>
      </c>
      <c r="P536" s="2">
        <v>8142.99</v>
      </c>
      <c r="Q536" t="s">
        <v>2168</v>
      </c>
    </row>
    <row r="537" spans="1:17">
      <c r="A537" t="s">
        <v>552</v>
      </c>
      <c r="B537" s="1">
        <v>45790</v>
      </c>
      <c r="C537" t="s">
        <v>1678</v>
      </c>
      <c r="D537" t="s">
        <v>1976</v>
      </c>
      <c r="E537" t="s">
        <v>2114</v>
      </c>
      <c r="F537" t="s">
        <v>2119</v>
      </c>
      <c r="G537" t="s">
        <v>2130</v>
      </c>
      <c r="H537" t="s">
        <v>2141</v>
      </c>
      <c r="I537" t="s">
        <v>2143</v>
      </c>
      <c r="J537" t="s">
        <v>2149</v>
      </c>
      <c r="K537" t="s">
        <v>2163</v>
      </c>
      <c r="L537" s="3">
        <v>1</v>
      </c>
      <c r="M537" s="2">
        <v>62239.83</v>
      </c>
      <c r="N537" s="5">
        <v>0</v>
      </c>
      <c r="O537" s="2">
        <v>62239.83</v>
      </c>
      <c r="P537" s="2">
        <v>11006.49</v>
      </c>
      <c r="Q537" t="s">
        <v>2169</v>
      </c>
    </row>
    <row r="538" spans="1:17">
      <c r="A538" t="s">
        <v>553</v>
      </c>
      <c r="B538" s="1">
        <v>45790</v>
      </c>
      <c r="C538" t="s">
        <v>1778</v>
      </c>
      <c r="D538" t="s">
        <v>2076</v>
      </c>
      <c r="E538" t="s">
        <v>2114</v>
      </c>
      <c r="F538" t="s">
        <v>2119</v>
      </c>
      <c r="G538" t="s">
        <v>2130</v>
      </c>
      <c r="H538" t="s">
        <v>2141</v>
      </c>
      <c r="I538" t="s">
        <v>2142</v>
      </c>
      <c r="J538" t="s">
        <v>2147</v>
      </c>
      <c r="K538" t="s">
        <v>2157</v>
      </c>
      <c r="L538" s="3">
        <v>4</v>
      </c>
      <c r="M538" s="2">
        <v>13962.02</v>
      </c>
      <c r="N538" s="5">
        <v>0.05</v>
      </c>
      <c r="O538" s="2">
        <v>53055.68</v>
      </c>
      <c r="P538" s="2">
        <v>9681.33</v>
      </c>
      <c r="Q538" t="s">
        <v>2168</v>
      </c>
    </row>
    <row r="539" spans="1:17">
      <c r="A539" t="s">
        <v>554</v>
      </c>
      <c r="B539" s="1">
        <v>45790</v>
      </c>
      <c r="C539" t="s">
        <v>1620</v>
      </c>
      <c r="D539" t="s">
        <v>1918</v>
      </c>
      <c r="E539" t="s">
        <v>2114</v>
      </c>
      <c r="F539" t="s">
        <v>2116</v>
      </c>
      <c r="G539" t="s">
        <v>2127</v>
      </c>
      <c r="H539" t="s">
        <v>2138</v>
      </c>
      <c r="I539" t="s">
        <v>2142</v>
      </c>
      <c r="J539" t="s">
        <v>2145</v>
      </c>
      <c r="K539" t="s">
        <v>2165</v>
      </c>
      <c r="L539" s="3">
        <v>5</v>
      </c>
      <c r="M539" s="2">
        <v>6769.25</v>
      </c>
      <c r="N539" s="5">
        <v>0.15</v>
      </c>
      <c r="O539" s="2">
        <v>28769.31</v>
      </c>
      <c r="P539" s="2">
        <v>6649.11</v>
      </c>
      <c r="Q539" t="s">
        <v>2169</v>
      </c>
    </row>
    <row r="540" spans="1:17">
      <c r="A540" t="s">
        <v>555</v>
      </c>
      <c r="B540" s="1">
        <v>45790</v>
      </c>
      <c r="C540" t="s">
        <v>1598</v>
      </c>
      <c r="D540" t="s">
        <v>1896</v>
      </c>
      <c r="E540" t="s">
        <v>2114</v>
      </c>
      <c r="F540" t="s">
        <v>2119</v>
      </c>
      <c r="G540" t="s">
        <v>2124</v>
      </c>
      <c r="H540" t="s">
        <v>2135</v>
      </c>
      <c r="I540" t="s">
        <v>2144</v>
      </c>
      <c r="J540" t="s">
        <v>2152</v>
      </c>
      <c r="K540" t="s">
        <v>2166</v>
      </c>
      <c r="L540" s="3">
        <v>3</v>
      </c>
      <c r="M540" s="2">
        <v>592.39</v>
      </c>
      <c r="N540" s="5">
        <v>0.1</v>
      </c>
      <c r="O540" s="2">
        <v>1599.45</v>
      </c>
      <c r="P540" s="2">
        <v>518.47</v>
      </c>
      <c r="Q540" t="s">
        <v>2168</v>
      </c>
    </row>
    <row r="541" spans="1:17">
      <c r="A541" t="s">
        <v>556</v>
      </c>
      <c r="B541" s="1">
        <v>45791</v>
      </c>
      <c r="C541" t="s">
        <v>1606</v>
      </c>
      <c r="D541" t="s">
        <v>1904</v>
      </c>
      <c r="E541" t="s">
        <v>2114</v>
      </c>
      <c r="F541" t="s">
        <v>2117</v>
      </c>
      <c r="G541" t="s">
        <v>2125</v>
      </c>
      <c r="H541" t="s">
        <v>2136</v>
      </c>
      <c r="I541" t="s">
        <v>2144</v>
      </c>
      <c r="J541" t="s">
        <v>2147</v>
      </c>
      <c r="K541" t="s">
        <v>2155</v>
      </c>
      <c r="L541" s="3">
        <v>1</v>
      </c>
      <c r="M541" s="2">
        <v>727.36</v>
      </c>
      <c r="N541" s="5">
        <v>0</v>
      </c>
      <c r="O541" s="2">
        <v>727.36</v>
      </c>
      <c r="P541" s="2">
        <v>110.44</v>
      </c>
      <c r="Q541" t="s">
        <v>2170</v>
      </c>
    </row>
    <row r="542" spans="1:17">
      <c r="A542" t="s">
        <v>557</v>
      </c>
      <c r="B542" s="1">
        <v>45791</v>
      </c>
      <c r="C542" t="s">
        <v>1672</v>
      </c>
      <c r="D542" t="s">
        <v>1970</v>
      </c>
      <c r="E542" t="s">
        <v>2114</v>
      </c>
      <c r="F542" t="s">
        <v>2116</v>
      </c>
      <c r="G542" t="s">
        <v>2127</v>
      </c>
      <c r="H542" t="s">
        <v>2140</v>
      </c>
      <c r="I542" t="s">
        <v>2143</v>
      </c>
      <c r="J542" t="s">
        <v>2146</v>
      </c>
      <c r="K542" t="s">
        <v>2164</v>
      </c>
      <c r="L542" s="3">
        <v>1</v>
      </c>
      <c r="M542" s="2">
        <v>18773.46</v>
      </c>
      <c r="N542" s="5">
        <v>0</v>
      </c>
      <c r="O542" s="2">
        <v>18773.46</v>
      </c>
      <c r="P542" s="2">
        <v>3625.85</v>
      </c>
      <c r="Q542" t="s">
        <v>2170</v>
      </c>
    </row>
    <row r="543" spans="1:17">
      <c r="A543" t="s">
        <v>558</v>
      </c>
      <c r="B543" s="1">
        <v>45791</v>
      </c>
      <c r="C543" t="s">
        <v>1630</v>
      </c>
      <c r="D543" t="s">
        <v>1928</v>
      </c>
      <c r="E543" t="s">
        <v>2114</v>
      </c>
      <c r="F543" t="s">
        <v>2116</v>
      </c>
      <c r="G543" t="s">
        <v>2127</v>
      </c>
      <c r="H543" t="s">
        <v>2140</v>
      </c>
      <c r="I543" t="s">
        <v>2143</v>
      </c>
      <c r="J543" t="s">
        <v>2148</v>
      </c>
      <c r="K543" t="s">
        <v>2156</v>
      </c>
      <c r="L543" s="3">
        <v>3</v>
      </c>
      <c r="M543" s="2">
        <v>1154.1099999999999</v>
      </c>
      <c r="N543" s="5">
        <v>0</v>
      </c>
      <c r="O543" s="2">
        <v>3462.33</v>
      </c>
      <c r="P543" s="2">
        <v>357.1</v>
      </c>
      <c r="Q543" t="s">
        <v>2170</v>
      </c>
    </row>
    <row r="544" spans="1:17">
      <c r="A544" t="s">
        <v>559</v>
      </c>
      <c r="B544" s="1">
        <v>45791</v>
      </c>
      <c r="C544" t="s">
        <v>1533</v>
      </c>
      <c r="D544" t="s">
        <v>1831</v>
      </c>
      <c r="E544" t="s">
        <v>2114</v>
      </c>
      <c r="F544" t="s">
        <v>2116</v>
      </c>
      <c r="G544" t="s">
        <v>2127</v>
      </c>
      <c r="H544" t="s">
        <v>2138</v>
      </c>
      <c r="I544" t="s">
        <v>2143</v>
      </c>
      <c r="J544" t="s">
        <v>2146</v>
      </c>
      <c r="K544" t="s">
        <v>2154</v>
      </c>
      <c r="L544" s="3">
        <v>3</v>
      </c>
      <c r="M544" s="2">
        <v>43560.639999999999</v>
      </c>
      <c r="N544" s="5">
        <v>0.1</v>
      </c>
      <c r="O544" s="2">
        <v>117613.73</v>
      </c>
      <c r="P544" s="2">
        <v>7600.99</v>
      </c>
      <c r="Q544" t="s">
        <v>2169</v>
      </c>
    </row>
    <row r="545" spans="1:17">
      <c r="A545" t="s">
        <v>560</v>
      </c>
      <c r="B545" s="1">
        <v>45791</v>
      </c>
      <c r="C545" t="s">
        <v>1779</v>
      </c>
      <c r="D545" t="s">
        <v>2077</v>
      </c>
      <c r="E545" t="s">
        <v>2114</v>
      </c>
      <c r="F545" t="s">
        <v>2118</v>
      </c>
      <c r="G545" t="s">
        <v>2128</v>
      </c>
      <c r="H545" t="s">
        <v>2128</v>
      </c>
      <c r="I545" t="s">
        <v>2142</v>
      </c>
      <c r="J545" t="s">
        <v>2145</v>
      </c>
      <c r="K545" t="s">
        <v>2165</v>
      </c>
      <c r="L545" s="3">
        <v>3</v>
      </c>
      <c r="M545" s="2">
        <v>6651</v>
      </c>
      <c r="N545" s="5">
        <v>0.1</v>
      </c>
      <c r="O545" s="2">
        <v>17957.7</v>
      </c>
      <c r="P545" s="2">
        <v>2628.15</v>
      </c>
      <c r="Q545" t="s">
        <v>2167</v>
      </c>
    </row>
    <row r="546" spans="1:17">
      <c r="A546" t="s">
        <v>561</v>
      </c>
      <c r="B546" s="1">
        <v>45791</v>
      </c>
      <c r="C546" t="s">
        <v>1780</v>
      </c>
      <c r="D546" t="s">
        <v>2078</v>
      </c>
      <c r="E546" t="s">
        <v>2115</v>
      </c>
      <c r="F546" t="s">
        <v>2119</v>
      </c>
      <c r="G546" t="s">
        <v>2124</v>
      </c>
      <c r="H546" t="s">
        <v>2135</v>
      </c>
      <c r="I546" t="s">
        <v>2142</v>
      </c>
      <c r="J546" t="s">
        <v>2145</v>
      </c>
      <c r="K546" t="s">
        <v>2153</v>
      </c>
      <c r="L546" s="3">
        <v>3</v>
      </c>
      <c r="M546" s="2">
        <v>12216.67</v>
      </c>
      <c r="N546" s="5">
        <v>0.15</v>
      </c>
      <c r="O546" s="2">
        <v>31152.51</v>
      </c>
      <c r="P546" s="2">
        <v>4029.75</v>
      </c>
      <c r="Q546" t="s">
        <v>2168</v>
      </c>
    </row>
    <row r="547" spans="1:17">
      <c r="A547" t="s">
        <v>562</v>
      </c>
      <c r="B547" s="1">
        <v>45791</v>
      </c>
      <c r="C547" t="s">
        <v>1766</v>
      </c>
      <c r="D547" t="s">
        <v>2064</v>
      </c>
      <c r="E547" t="s">
        <v>2115</v>
      </c>
      <c r="F547" t="s">
        <v>2119</v>
      </c>
      <c r="G547" t="s">
        <v>2124</v>
      </c>
      <c r="H547" t="s">
        <v>2135</v>
      </c>
      <c r="I547" t="s">
        <v>2143</v>
      </c>
      <c r="J547" t="s">
        <v>2149</v>
      </c>
      <c r="K547" t="s">
        <v>2163</v>
      </c>
      <c r="L547" s="3">
        <v>4</v>
      </c>
      <c r="M547" s="2">
        <v>63529.04</v>
      </c>
      <c r="N547" s="5">
        <v>0.15</v>
      </c>
      <c r="O547" s="2">
        <v>215998.74</v>
      </c>
      <c r="P547" s="2">
        <v>40823.339999999997</v>
      </c>
      <c r="Q547" t="s">
        <v>2167</v>
      </c>
    </row>
    <row r="548" spans="1:17">
      <c r="A548" t="s">
        <v>563</v>
      </c>
      <c r="B548" s="1">
        <v>45791</v>
      </c>
      <c r="C548" t="s">
        <v>1754</v>
      </c>
      <c r="D548" t="s">
        <v>2052</v>
      </c>
      <c r="E548" t="s">
        <v>2114</v>
      </c>
      <c r="F548" t="s">
        <v>2119</v>
      </c>
      <c r="G548" t="s">
        <v>2130</v>
      </c>
      <c r="H548" t="s">
        <v>2141</v>
      </c>
      <c r="I548" t="s">
        <v>2144</v>
      </c>
      <c r="J548" t="s">
        <v>2147</v>
      </c>
      <c r="K548" t="s">
        <v>2155</v>
      </c>
      <c r="L548" s="3">
        <v>2</v>
      </c>
      <c r="M548" s="2">
        <v>721.92</v>
      </c>
      <c r="N548" s="5">
        <v>0.1</v>
      </c>
      <c r="O548" s="2">
        <v>1299.46</v>
      </c>
      <c r="P548" s="2">
        <v>249.47</v>
      </c>
      <c r="Q548" t="s">
        <v>2168</v>
      </c>
    </row>
    <row r="549" spans="1:17">
      <c r="A549" t="s">
        <v>564</v>
      </c>
      <c r="B549" s="1">
        <v>45791</v>
      </c>
      <c r="C549" t="s">
        <v>1678</v>
      </c>
      <c r="D549" t="s">
        <v>1976</v>
      </c>
      <c r="E549" t="s">
        <v>2113</v>
      </c>
      <c r="F549" t="s">
        <v>2117</v>
      </c>
      <c r="G549" t="s">
        <v>2121</v>
      </c>
      <c r="H549" t="s">
        <v>2132</v>
      </c>
      <c r="I549" t="s">
        <v>2143</v>
      </c>
      <c r="J549" t="s">
        <v>2149</v>
      </c>
      <c r="K549" t="s">
        <v>2163</v>
      </c>
      <c r="L549" s="3">
        <v>1</v>
      </c>
      <c r="M549" s="2">
        <v>62143.59</v>
      </c>
      <c r="N549" s="5">
        <v>0.05</v>
      </c>
      <c r="O549" s="2">
        <v>59036.41</v>
      </c>
      <c r="P549" s="2">
        <v>9685.34</v>
      </c>
      <c r="Q549" t="s">
        <v>2170</v>
      </c>
    </row>
    <row r="550" spans="1:17">
      <c r="A550" t="s">
        <v>565</v>
      </c>
      <c r="B550" s="1">
        <v>45791</v>
      </c>
      <c r="C550" t="s">
        <v>1781</v>
      </c>
      <c r="D550" t="s">
        <v>2079</v>
      </c>
      <c r="E550" t="s">
        <v>2114</v>
      </c>
      <c r="F550" t="s">
        <v>2117</v>
      </c>
      <c r="G550" t="s">
        <v>2125</v>
      </c>
      <c r="H550" t="s">
        <v>2136</v>
      </c>
      <c r="I550" t="s">
        <v>2144</v>
      </c>
      <c r="J550" t="s">
        <v>2152</v>
      </c>
      <c r="K550" t="s">
        <v>2162</v>
      </c>
      <c r="L550" s="3">
        <v>3</v>
      </c>
      <c r="M550" s="2">
        <v>333.84</v>
      </c>
      <c r="N550" s="5">
        <v>0</v>
      </c>
      <c r="O550" s="2">
        <v>1001.52</v>
      </c>
      <c r="P550" s="2">
        <v>236.32</v>
      </c>
      <c r="Q550" t="s">
        <v>2170</v>
      </c>
    </row>
    <row r="551" spans="1:17">
      <c r="A551" t="s">
        <v>566</v>
      </c>
      <c r="B551" s="1">
        <v>45791</v>
      </c>
      <c r="C551" t="s">
        <v>1750</v>
      </c>
      <c r="D551" t="s">
        <v>2048</v>
      </c>
      <c r="E551" t="s">
        <v>2115</v>
      </c>
      <c r="F551" t="s">
        <v>2116</v>
      </c>
      <c r="G551" t="s">
        <v>2127</v>
      </c>
      <c r="H551" t="s">
        <v>2140</v>
      </c>
      <c r="I551" t="s">
        <v>2144</v>
      </c>
      <c r="J551" t="s">
        <v>2152</v>
      </c>
      <c r="K551" t="s">
        <v>2166</v>
      </c>
      <c r="L551" s="3">
        <v>2</v>
      </c>
      <c r="M551" s="2">
        <v>577.22</v>
      </c>
      <c r="N551" s="5">
        <v>0.05</v>
      </c>
      <c r="O551" s="2">
        <v>1096.72</v>
      </c>
      <c r="P551" s="2">
        <v>304.5</v>
      </c>
      <c r="Q551" t="s">
        <v>2169</v>
      </c>
    </row>
    <row r="552" spans="1:17">
      <c r="A552" t="s">
        <v>567</v>
      </c>
      <c r="B552" s="1">
        <v>45792</v>
      </c>
      <c r="C552" t="s">
        <v>1556</v>
      </c>
      <c r="D552" t="s">
        <v>1854</v>
      </c>
      <c r="E552" t="s">
        <v>2114</v>
      </c>
      <c r="F552" t="s">
        <v>2118</v>
      </c>
      <c r="G552" t="s">
        <v>2128</v>
      </c>
      <c r="H552" t="s">
        <v>2128</v>
      </c>
      <c r="I552" t="s">
        <v>2142</v>
      </c>
      <c r="J552" t="s">
        <v>2147</v>
      </c>
      <c r="K552" t="s">
        <v>2157</v>
      </c>
      <c r="L552" s="3">
        <v>1</v>
      </c>
      <c r="M552" s="2">
        <v>14278.15</v>
      </c>
      <c r="N552" s="5">
        <v>0.1</v>
      </c>
      <c r="O552" s="2">
        <v>12850.33</v>
      </c>
      <c r="P552" s="2">
        <v>3035.15</v>
      </c>
      <c r="Q552" t="s">
        <v>2167</v>
      </c>
    </row>
    <row r="553" spans="1:17">
      <c r="A553" t="s">
        <v>568</v>
      </c>
      <c r="B553" s="1">
        <v>45792</v>
      </c>
      <c r="C553" t="s">
        <v>1741</v>
      </c>
      <c r="D553" t="s">
        <v>2039</v>
      </c>
      <c r="E553" t="s">
        <v>2113</v>
      </c>
      <c r="F553" t="s">
        <v>2117</v>
      </c>
      <c r="G553" t="s">
        <v>2123</v>
      </c>
      <c r="H553" t="s">
        <v>2134</v>
      </c>
      <c r="I553" t="s">
        <v>2142</v>
      </c>
      <c r="J553" t="s">
        <v>2145</v>
      </c>
      <c r="K553" t="s">
        <v>2165</v>
      </c>
      <c r="L553" s="3">
        <v>1</v>
      </c>
      <c r="M553" s="2">
        <v>6545.92</v>
      </c>
      <c r="N553" s="5">
        <v>0.1</v>
      </c>
      <c r="O553" s="2">
        <v>5891.33</v>
      </c>
      <c r="P553" s="2">
        <v>1085.8900000000001</v>
      </c>
      <c r="Q553" t="s">
        <v>2170</v>
      </c>
    </row>
    <row r="554" spans="1:17">
      <c r="A554" t="s">
        <v>569</v>
      </c>
      <c r="B554" s="1">
        <v>45793</v>
      </c>
      <c r="C554" t="s">
        <v>1743</v>
      </c>
      <c r="D554" t="s">
        <v>2041</v>
      </c>
      <c r="E554" t="s">
        <v>2114</v>
      </c>
      <c r="F554" t="s">
        <v>2118</v>
      </c>
      <c r="G554" t="s">
        <v>2128</v>
      </c>
      <c r="H554" t="s">
        <v>2128</v>
      </c>
      <c r="I554" t="s">
        <v>2142</v>
      </c>
      <c r="J554" t="s">
        <v>2145</v>
      </c>
      <c r="K554" t="s">
        <v>2153</v>
      </c>
      <c r="L554" s="3">
        <v>1</v>
      </c>
      <c r="M554" s="2">
        <v>11546.46</v>
      </c>
      <c r="N554" s="5">
        <v>0.15</v>
      </c>
      <c r="O554" s="2">
        <v>9814.49</v>
      </c>
      <c r="P554" s="2">
        <v>1249.99</v>
      </c>
      <c r="Q554" t="s">
        <v>2168</v>
      </c>
    </row>
    <row r="555" spans="1:17">
      <c r="A555" t="s">
        <v>570</v>
      </c>
      <c r="B555" s="1">
        <v>45793</v>
      </c>
      <c r="C555" t="s">
        <v>1601</v>
      </c>
      <c r="D555" t="s">
        <v>1899</v>
      </c>
      <c r="E555" t="s">
        <v>2114</v>
      </c>
      <c r="F555" t="s">
        <v>2117</v>
      </c>
      <c r="G555" t="s">
        <v>2125</v>
      </c>
      <c r="H555" t="s">
        <v>2136</v>
      </c>
      <c r="I555" t="s">
        <v>2143</v>
      </c>
      <c r="J555" t="s">
        <v>2149</v>
      </c>
      <c r="K555" t="s">
        <v>2158</v>
      </c>
      <c r="L555" s="3">
        <v>1</v>
      </c>
      <c r="M555" s="2">
        <v>48909.81</v>
      </c>
      <c r="N555" s="5">
        <v>0.05</v>
      </c>
      <c r="O555" s="2">
        <v>46464.32</v>
      </c>
      <c r="P555" s="2">
        <v>8825.93</v>
      </c>
      <c r="Q555" t="s">
        <v>2168</v>
      </c>
    </row>
    <row r="556" spans="1:17">
      <c r="A556" t="s">
        <v>571</v>
      </c>
      <c r="B556" s="1">
        <v>45793</v>
      </c>
      <c r="C556" t="s">
        <v>1782</v>
      </c>
      <c r="D556" t="s">
        <v>2080</v>
      </c>
      <c r="E556" t="s">
        <v>2114</v>
      </c>
      <c r="F556" t="s">
        <v>2117</v>
      </c>
      <c r="G556" t="s">
        <v>2121</v>
      </c>
      <c r="H556" t="s">
        <v>2132</v>
      </c>
      <c r="I556" t="s">
        <v>2143</v>
      </c>
      <c r="J556" t="s">
        <v>2148</v>
      </c>
      <c r="K556" t="s">
        <v>2156</v>
      </c>
      <c r="L556" s="3">
        <v>1</v>
      </c>
      <c r="M556" s="2">
        <v>1163.98</v>
      </c>
      <c r="N556" s="5">
        <v>0.05</v>
      </c>
      <c r="O556" s="2">
        <v>1105.78</v>
      </c>
      <c r="P556" s="2">
        <v>107.8</v>
      </c>
      <c r="Q556" t="s">
        <v>2167</v>
      </c>
    </row>
    <row r="557" spans="1:17">
      <c r="A557" t="s">
        <v>572</v>
      </c>
      <c r="B557" s="1">
        <v>45793</v>
      </c>
      <c r="C557" t="s">
        <v>1674</v>
      </c>
      <c r="D557" t="s">
        <v>1972</v>
      </c>
      <c r="E557" t="s">
        <v>2113</v>
      </c>
      <c r="F557" t="s">
        <v>2116</v>
      </c>
      <c r="G557" t="s">
        <v>2127</v>
      </c>
      <c r="H557" t="s">
        <v>2140</v>
      </c>
      <c r="I557" t="s">
        <v>2142</v>
      </c>
      <c r="J557" t="s">
        <v>2145</v>
      </c>
      <c r="K557" t="s">
        <v>2153</v>
      </c>
      <c r="L557" s="3">
        <v>2</v>
      </c>
      <c r="M557" s="2">
        <v>11915.19</v>
      </c>
      <c r="N557" s="5">
        <v>0.1</v>
      </c>
      <c r="O557" s="2">
        <v>21447.34</v>
      </c>
      <c r="P557" s="2">
        <v>5350.39</v>
      </c>
      <c r="Q557" t="s">
        <v>2168</v>
      </c>
    </row>
    <row r="558" spans="1:17">
      <c r="A558" t="s">
        <v>573</v>
      </c>
      <c r="B558" s="1">
        <v>45793</v>
      </c>
      <c r="C558" t="s">
        <v>1757</v>
      </c>
      <c r="D558" t="s">
        <v>2055</v>
      </c>
      <c r="E558" t="s">
        <v>2115</v>
      </c>
      <c r="F558" t="s">
        <v>2118</v>
      </c>
      <c r="G558" t="s">
        <v>2122</v>
      </c>
      <c r="H558" t="s">
        <v>2133</v>
      </c>
      <c r="I558" t="s">
        <v>2143</v>
      </c>
      <c r="J558" t="s">
        <v>2149</v>
      </c>
      <c r="K558" t="s">
        <v>2158</v>
      </c>
      <c r="L558" s="3">
        <v>2</v>
      </c>
      <c r="M558" s="2">
        <v>46057.78</v>
      </c>
      <c r="N558" s="5">
        <v>0.1</v>
      </c>
      <c r="O558" s="2">
        <v>82904</v>
      </c>
      <c r="P558" s="2">
        <v>6905.78</v>
      </c>
      <c r="Q558" t="s">
        <v>2167</v>
      </c>
    </row>
    <row r="559" spans="1:17">
      <c r="A559" t="s">
        <v>574</v>
      </c>
      <c r="B559" s="1">
        <v>45793</v>
      </c>
      <c r="C559" t="s">
        <v>1770</v>
      </c>
      <c r="D559" t="s">
        <v>2068</v>
      </c>
      <c r="E559" t="s">
        <v>2114</v>
      </c>
      <c r="F559" t="s">
        <v>2116</v>
      </c>
      <c r="G559" t="s">
        <v>2120</v>
      </c>
      <c r="H559" t="s">
        <v>2131</v>
      </c>
      <c r="I559" t="s">
        <v>2143</v>
      </c>
      <c r="J559" t="s">
        <v>2149</v>
      </c>
      <c r="K559" t="s">
        <v>2163</v>
      </c>
      <c r="L559" s="3">
        <v>5</v>
      </c>
      <c r="M559" s="2">
        <v>67276.12</v>
      </c>
      <c r="N559" s="5">
        <v>0</v>
      </c>
      <c r="O559" s="2">
        <v>336380.6</v>
      </c>
      <c r="P559" s="2">
        <v>73889.89</v>
      </c>
      <c r="Q559" t="s">
        <v>2168</v>
      </c>
    </row>
    <row r="560" spans="1:17">
      <c r="A560" t="s">
        <v>575</v>
      </c>
      <c r="B560" s="1">
        <v>45794</v>
      </c>
      <c r="C560" t="s">
        <v>1566</v>
      </c>
      <c r="D560" t="s">
        <v>1864</v>
      </c>
      <c r="E560" t="s">
        <v>2114</v>
      </c>
      <c r="F560" t="s">
        <v>2119</v>
      </c>
      <c r="G560" t="s">
        <v>2124</v>
      </c>
      <c r="H560" t="s">
        <v>2135</v>
      </c>
      <c r="I560" t="s">
        <v>2144</v>
      </c>
      <c r="J560" t="s">
        <v>2150</v>
      </c>
      <c r="K560" t="s">
        <v>2159</v>
      </c>
      <c r="L560" s="3">
        <v>2</v>
      </c>
      <c r="M560" s="2">
        <v>460.9</v>
      </c>
      <c r="N560" s="5">
        <v>0.1</v>
      </c>
      <c r="O560" s="2">
        <v>829.62</v>
      </c>
      <c r="P560" s="2">
        <v>191.96</v>
      </c>
      <c r="Q560" t="s">
        <v>2167</v>
      </c>
    </row>
    <row r="561" spans="1:17">
      <c r="A561" t="s">
        <v>576</v>
      </c>
      <c r="B561" s="1">
        <v>45794</v>
      </c>
      <c r="C561" t="s">
        <v>1727</v>
      </c>
      <c r="D561" t="s">
        <v>2025</v>
      </c>
      <c r="E561" t="s">
        <v>2115</v>
      </c>
      <c r="F561" t="s">
        <v>2117</v>
      </c>
      <c r="G561" t="s">
        <v>2121</v>
      </c>
      <c r="H561" t="s">
        <v>2132</v>
      </c>
      <c r="I561" t="s">
        <v>2143</v>
      </c>
      <c r="J561" t="s">
        <v>2146</v>
      </c>
      <c r="K561" t="s">
        <v>2154</v>
      </c>
      <c r="L561" s="3">
        <v>2</v>
      </c>
      <c r="M561" s="2">
        <v>43483.21</v>
      </c>
      <c r="N561" s="5">
        <v>0</v>
      </c>
      <c r="O561" s="2">
        <v>86966.42</v>
      </c>
      <c r="P561" s="2">
        <v>10050.27</v>
      </c>
      <c r="Q561" t="s">
        <v>2167</v>
      </c>
    </row>
    <row r="562" spans="1:17">
      <c r="A562" t="s">
        <v>577</v>
      </c>
      <c r="B562" s="1">
        <v>45794</v>
      </c>
      <c r="C562" t="s">
        <v>1695</v>
      </c>
      <c r="D562" t="s">
        <v>1993</v>
      </c>
      <c r="E562" t="s">
        <v>2115</v>
      </c>
      <c r="F562" t="s">
        <v>2118</v>
      </c>
      <c r="G562" t="s">
        <v>2122</v>
      </c>
      <c r="H562" t="s">
        <v>2133</v>
      </c>
      <c r="I562" t="s">
        <v>2144</v>
      </c>
      <c r="J562" t="s">
        <v>2147</v>
      </c>
      <c r="K562" t="s">
        <v>2155</v>
      </c>
      <c r="L562" s="3">
        <v>4</v>
      </c>
      <c r="M562" s="2">
        <v>731.58</v>
      </c>
      <c r="N562" s="5">
        <v>0.15</v>
      </c>
      <c r="O562" s="2">
        <v>2487.37</v>
      </c>
      <c r="P562" s="2">
        <v>695.34</v>
      </c>
      <c r="Q562" t="s">
        <v>2168</v>
      </c>
    </row>
    <row r="563" spans="1:17">
      <c r="A563" t="s">
        <v>578</v>
      </c>
      <c r="B563" s="1">
        <v>45794</v>
      </c>
      <c r="C563" t="s">
        <v>1699</v>
      </c>
      <c r="D563" t="s">
        <v>1997</v>
      </c>
      <c r="E563" t="s">
        <v>2114</v>
      </c>
      <c r="F563" t="s">
        <v>2118</v>
      </c>
      <c r="G563" t="s">
        <v>2128</v>
      </c>
      <c r="H563" t="s">
        <v>2128</v>
      </c>
      <c r="I563" t="s">
        <v>2143</v>
      </c>
      <c r="J563" t="s">
        <v>2148</v>
      </c>
      <c r="K563" t="s">
        <v>2161</v>
      </c>
      <c r="L563" s="3">
        <v>4</v>
      </c>
      <c r="M563" s="2">
        <v>1767.05</v>
      </c>
      <c r="N563" s="5">
        <v>0.15</v>
      </c>
      <c r="O563" s="2">
        <v>6007.97</v>
      </c>
      <c r="P563" s="2">
        <v>925.95</v>
      </c>
      <c r="Q563" t="s">
        <v>2167</v>
      </c>
    </row>
    <row r="564" spans="1:17">
      <c r="A564" t="s">
        <v>579</v>
      </c>
      <c r="B564" s="1">
        <v>45794</v>
      </c>
      <c r="C564" t="s">
        <v>1554</v>
      </c>
      <c r="D564" t="s">
        <v>1852</v>
      </c>
      <c r="E564" t="s">
        <v>2114</v>
      </c>
      <c r="F564" t="s">
        <v>2118</v>
      </c>
      <c r="G564" t="s">
        <v>2126</v>
      </c>
      <c r="H564" t="s">
        <v>2137</v>
      </c>
      <c r="I564" t="s">
        <v>2143</v>
      </c>
      <c r="J564" t="s">
        <v>2148</v>
      </c>
      <c r="K564" t="s">
        <v>2156</v>
      </c>
      <c r="L564" s="3">
        <v>2</v>
      </c>
      <c r="M564" s="2">
        <v>1150.55</v>
      </c>
      <c r="N564" s="5">
        <v>0.15</v>
      </c>
      <c r="O564" s="2">
        <v>1955.93</v>
      </c>
      <c r="P564" s="2">
        <v>343.72</v>
      </c>
      <c r="Q564" t="s">
        <v>2168</v>
      </c>
    </row>
    <row r="565" spans="1:17">
      <c r="A565" t="s">
        <v>580</v>
      </c>
      <c r="B565" s="1">
        <v>45794</v>
      </c>
      <c r="C565" t="s">
        <v>1546</v>
      </c>
      <c r="D565" t="s">
        <v>1844</v>
      </c>
      <c r="E565" t="s">
        <v>2114</v>
      </c>
      <c r="F565" t="s">
        <v>2117</v>
      </c>
      <c r="G565" t="s">
        <v>2123</v>
      </c>
      <c r="H565" t="s">
        <v>2134</v>
      </c>
      <c r="I565" t="s">
        <v>2143</v>
      </c>
      <c r="J565" t="s">
        <v>2148</v>
      </c>
      <c r="K565" t="s">
        <v>2161</v>
      </c>
      <c r="L565" s="3">
        <v>4</v>
      </c>
      <c r="M565" s="2">
        <v>1710.04</v>
      </c>
      <c r="N565" s="5">
        <v>0.1</v>
      </c>
      <c r="O565" s="2">
        <v>6156.14</v>
      </c>
      <c r="P565" s="2">
        <v>1074.31</v>
      </c>
      <c r="Q565" t="s">
        <v>2168</v>
      </c>
    </row>
    <row r="566" spans="1:17">
      <c r="A566" t="s">
        <v>581</v>
      </c>
      <c r="B566" s="1">
        <v>45794</v>
      </c>
      <c r="C566" t="s">
        <v>1783</v>
      </c>
      <c r="D566" t="s">
        <v>2081</v>
      </c>
      <c r="E566" t="s">
        <v>2114</v>
      </c>
      <c r="F566" t="s">
        <v>2119</v>
      </c>
      <c r="G566" t="s">
        <v>2130</v>
      </c>
      <c r="H566" t="s">
        <v>2141</v>
      </c>
      <c r="I566" t="s">
        <v>2143</v>
      </c>
      <c r="J566" t="s">
        <v>2148</v>
      </c>
      <c r="K566" t="s">
        <v>2156</v>
      </c>
      <c r="L566" s="3">
        <v>1</v>
      </c>
      <c r="M566" s="2">
        <v>1232.75</v>
      </c>
      <c r="N566" s="5">
        <v>0.1</v>
      </c>
      <c r="O566" s="2">
        <v>1109.48</v>
      </c>
      <c r="P566" s="2">
        <v>160.47</v>
      </c>
      <c r="Q566" t="s">
        <v>2167</v>
      </c>
    </row>
    <row r="567" spans="1:17">
      <c r="A567" t="s">
        <v>582</v>
      </c>
      <c r="B567" s="1">
        <v>45794</v>
      </c>
      <c r="C567" t="s">
        <v>1780</v>
      </c>
      <c r="D567" t="s">
        <v>2078</v>
      </c>
      <c r="E567" t="s">
        <v>2113</v>
      </c>
      <c r="F567" t="s">
        <v>2116</v>
      </c>
      <c r="G567" t="s">
        <v>2120</v>
      </c>
      <c r="H567" t="s">
        <v>2131</v>
      </c>
      <c r="I567" t="s">
        <v>2144</v>
      </c>
      <c r="J567" t="s">
        <v>2147</v>
      </c>
      <c r="K567" t="s">
        <v>2155</v>
      </c>
      <c r="L567" s="3">
        <v>1</v>
      </c>
      <c r="M567" s="2">
        <v>766.7</v>
      </c>
      <c r="N567" s="5">
        <v>0.1</v>
      </c>
      <c r="O567" s="2">
        <v>690.03</v>
      </c>
      <c r="P567" s="2">
        <v>182.23</v>
      </c>
      <c r="Q567" t="s">
        <v>2170</v>
      </c>
    </row>
    <row r="568" spans="1:17">
      <c r="A568" t="s">
        <v>583</v>
      </c>
      <c r="B568" s="1">
        <v>45794</v>
      </c>
      <c r="C568" t="s">
        <v>1610</v>
      </c>
      <c r="D568" t="s">
        <v>1908</v>
      </c>
      <c r="E568" t="s">
        <v>2115</v>
      </c>
      <c r="F568" t="s">
        <v>2117</v>
      </c>
      <c r="G568" t="s">
        <v>2121</v>
      </c>
      <c r="H568" t="s">
        <v>2132</v>
      </c>
      <c r="I568" t="s">
        <v>2144</v>
      </c>
      <c r="J568" t="s">
        <v>2150</v>
      </c>
      <c r="K568" t="s">
        <v>2159</v>
      </c>
      <c r="L568" s="3">
        <v>2</v>
      </c>
      <c r="M568" s="2">
        <v>439.6</v>
      </c>
      <c r="N568" s="5">
        <v>0.1</v>
      </c>
      <c r="O568" s="2">
        <v>791.28</v>
      </c>
      <c r="P568" s="2">
        <v>151.38</v>
      </c>
      <c r="Q568" t="s">
        <v>2169</v>
      </c>
    </row>
    <row r="569" spans="1:17">
      <c r="A569" t="s">
        <v>584</v>
      </c>
      <c r="B569" s="1">
        <v>45794</v>
      </c>
      <c r="C569" t="s">
        <v>1784</v>
      </c>
      <c r="D569" t="s">
        <v>2082</v>
      </c>
      <c r="E569" t="s">
        <v>2115</v>
      </c>
      <c r="F569" t="s">
        <v>2116</v>
      </c>
      <c r="G569" t="s">
        <v>2127</v>
      </c>
      <c r="H569" t="s">
        <v>2138</v>
      </c>
      <c r="I569" t="s">
        <v>2143</v>
      </c>
      <c r="J569" t="s">
        <v>2146</v>
      </c>
      <c r="K569" t="s">
        <v>2164</v>
      </c>
      <c r="L569" s="3">
        <v>4</v>
      </c>
      <c r="M569" s="2">
        <v>17263.3</v>
      </c>
      <c r="N569" s="5">
        <v>0</v>
      </c>
      <c r="O569" s="2">
        <v>69053.2</v>
      </c>
      <c r="P569" s="2">
        <v>8063.85</v>
      </c>
      <c r="Q569" t="s">
        <v>2170</v>
      </c>
    </row>
    <row r="570" spans="1:17">
      <c r="A570" t="s">
        <v>585</v>
      </c>
      <c r="B570" s="1">
        <v>45795</v>
      </c>
      <c r="C570" t="s">
        <v>1785</v>
      </c>
      <c r="D570" t="s">
        <v>2083</v>
      </c>
      <c r="E570" t="s">
        <v>2115</v>
      </c>
      <c r="F570" t="s">
        <v>2116</v>
      </c>
      <c r="G570" t="s">
        <v>2127</v>
      </c>
      <c r="H570" t="s">
        <v>2138</v>
      </c>
      <c r="I570" t="s">
        <v>2142</v>
      </c>
      <c r="J570" t="s">
        <v>2147</v>
      </c>
      <c r="K570" t="s">
        <v>2157</v>
      </c>
      <c r="L570" s="3">
        <v>1</v>
      </c>
      <c r="M570" s="2">
        <v>13798.38</v>
      </c>
      <c r="N570" s="5">
        <v>0.1</v>
      </c>
      <c r="O570" s="2">
        <v>12418.54</v>
      </c>
      <c r="P570" s="2">
        <v>1997.3</v>
      </c>
      <c r="Q570" t="s">
        <v>2168</v>
      </c>
    </row>
    <row r="571" spans="1:17">
      <c r="A571" t="s">
        <v>586</v>
      </c>
      <c r="B571" s="1">
        <v>45795</v>
      </c>
      <c r="C571" t="s">
        <v>1530</v>
      </c>
      <c r="D571" t="s">
        <v>1828</v>
      </c>
      <c r="E571" t="s">
        <v>2113</v>
      </c>
      <c r="F571" t="s">
        <v>2119</v>
      </c>
      <c r="G571" t="s">
        <v>2130</v>
      </c>
      <c r="H571" t="s">
        <v>2141</v>
      </c>
      <c r="I571" t="s">
        <v>2143</v>
      </c>
      <c r="J571" t="s">
        <v>2148</v>
      </c>
      <c r="K571" t="s">
        <v>2156</v>
      </c>
      <c r="L571" s="3">
        <v>3</v>
      </c>
      <c r="M571" s="2">
        <v>1246.81</v>
      </c>
      <c r="N571" s="5">
        <v>0.15</v>
      </c>
      <c r="O571" s="2">
        <v>3179.37</v>
      </c>
      <c r="P571" s="2">
        <v>337.32</v>
      </c>
      <c r="Q571" t="s">
        <v>2170</v>
      </c>
    </row>
    <row r="572" spans="1:17">
      <c r="A572" t="s">
        <v>587</v>
      </c>
      <c r="B572" s="1">
        <v>45795</v>
      </c>
      <c r="C572" t="s">
        <v>1522</v>
      </c>
      <c r="D572" t="s">
        <v>1820</v>
      </c>
      <c r="E572" t="s">
        <v>2114</v>
      </c>
      <c r="F572" t="s">
        <v>2116</v>
      </c>
      <c r="G572" t="s">
        <v>2127</v>
      </c>
      <c r="H572" t="s">
        <v>2140</v>
      </c>
      <c r="I572" t="s">
        <v>2143</v>
      </c>
      <c r="J572" t="s">
        <v>2148</v>
      </c>
      <c r="K572" t="s">
        <v>2161</v>
      </c>
      <c r="L572" s="3">
        <v>1</v>
      </c>
      <c r="M572" s="2">
        <v>1724.66</v>
      </c>
      <c r="N572" s="5">
        <v>0.1</v>
      </c>
      <c r="O572" s="2">
        <v>1552.19</v>
      </c>
      <c r="P572" s="2">
        <v>191.83</v>
      </c>
      <c r="Q572" t="s">
        <v>2168</v>
      </c>
    </row>
    <row r="573" spans="1:17">
      <c r="A573" t="s">
        <v>588</v>
      </c>
      <c r="B573" s="1">
        <v>45796</v>
      </c>
      <c r="C573" t="s">
        <v>1622</v>
      </c>
      <c r="D573" t="s">
        <v>1920</v>
      </c>
      <c r="E573" t="s">
        <v>2114</v>
      </c>
      <c r="F573" t="s">
        <v>2116</v>
      </c>
      <c r="G573" t="s">
        <v>2127</v>
      </c>
      <c r="H573" t="s">
        <v>2138</v>
      </c>
      <c r="I573" t="s">
        <v>2144</v>
      </c>
      <c r="J573" t="s">
        <v>2152</v>
      </c>
      <c r="K573" t="s">
        <v>2162</v>
      </c>
      <c r="L573" s="3">
        <v>5</v>
      </c>
      <c r="M573" s="2">
        <v>337.42</v>
      </c>
      <c r="N573" s="5">
        <v>0.1</v>
      </c>
      <c r="O573" s="2">
        <v>1518.39</v>
      </c>
      <c r="P573" s="2">
        <v>260.99</v>
      </c>
      <c r="Q573" t="s">
        <v>2168</v>
      </c>
    </row>
    <row r="574" spans="1:17">
      <c r="A574" t="s">
        <v>589</v>
      </c>
      <c r="B574" s="1">
        <v>45797</v>
      </c>
      <c r="C574" t="s">
        <v>1555</v>
      </c>
      <c r="D574" t="s">
        <v>1853</v>
      </c>
      <c r="E574" t="s">
        <v>2114</v>
      </c>
      <c r="F574" t="s">
        <v>2118</v>
      </c>
      <c r="G574" t="s">
        <v>2128</v>
      </c>
      <c r="H574" t="s">
        <v>2128</v>
      </c>
      <c r="I574" t="s">
        <v>2142</v>
      </c>
      <c r="J574" t="s">
        <v>2145</v>
      </c>
      <c r="K574" t="s">
        <v>2153</v>
      </c>
      <c r="L574" s="3">
        <v>1</v>
      </c>
      <c r="M574" s="2">
        <v>11786.27</v>
      </c>
      <c r="N574" s="5">
        <v>0.1</v>
      </c>
      <c r="O574" s="2">
        <v>10607.64</v>
      </c>
      <c r="P574" s="2">
        <v>1700.46</v>
      </c>
      <c r="Q574" t="s">
        <v>2170</v>
      </c>
    </row>
    <row r="575" spans="1:17">
      <c r="A575" t="s">
        <v>590</v>
      </c>
      <c r="B575" s="1">
        <v>45797</v>
      </c>
      <c r="C575" t="s">
        <v>1666</v>
      </c>
      <c r="D575" t="s">
        <v>1964</v>
      </c>
      <c r="E575" t="s">
        <v>2114</v>
      </c>
      <c r="F575" t="s">
        <v>2119</v>
      </c>
      <c r="G575" t="s">
        <v>2129</v>
      </c>
      <c r="H575" t="s">
        <v>2139</v>
      </c>
      <c r="I575" t="s">
        <v>2143</v>
      </c>
      <c r="J575" t="s">
        <v>2148</v>
      </c>
      <c r="K575" t="s">
        <v>2156</v>
      </c>
      <c r="L575" s="3">
        <v>2</v>
      </c>
      <c r="M575" s="2">
        <v>1192.81</v>
      </c>
      <c r="N575" s="5">
        <v>0.05</v>
      </c>
      <c r="O575" s="2">
        <v>2266.34</v>
      </c>
      <c r="P575" s="2">
        <v>178.53</v>
      </c>
      <c r="Q575" t="s">
        <v>2167</v>
      </c>
    </row>
    <row r="576" spans="1:17">
      <c r="A576" t="s">
        <v>591</v>
      </c>
      <c r="B576" s="1">
        <v>45798</v>
      </c>
      <c r="C576" t="s">
        <v>1599</v>
      </c>
      <c r="D576" t="s">
        <v>1897</v>
      </c>
      <c r="E576" t="s">
        <v>2114</v>
      </c>
      <c r="F576" t="s">
        <v>2119</v>
      </c>
      <c r="G576" t="s">
        <v>2129</v>
      </c>
      <c r="H576" t="s">
        <v>2139</v>
      </c>
      <c r="I576" t="s">
        <v>2143</v>
      </c>
      <c r="J576" t="s">
        <v>2149</v>
      </c>
      <c r="K576" t="s">
        <v>2163</v>
      </c>
      <c r="L576" s="3">
        <v>1</v>
      </c>
      <c r="M576" s="2">
        <v>66545.929999999993</v>
      </c>
      <c r="N576" s="5">
        <v>0.1</v>
      </c>
      <c r="O576" s="2">
        <v>59891.34</v>
      </c>
      <c r="P576" s="2">
        <v>8170.86</v>
      </c>
      <c r="Q576" t="s">
        <v>2168</v>
      </c>
    </row>
    <row r="577" spans="1:17">
      <c r="A577" t="s">
        <v>592</v>
      </c>
      <c r="B577" s="1">
        <v>45798</v>
      </c>
      <c r="C577" t="s">
        <v>1752</v>
      </c>
      <c r="D577" t="s">
        <v>2050</v>
      </c>
      <c r="E577" t="s">
        <v>2114</v>
      </c>
      <c r="F577" t="s">
        <v>2118</v>
      </c>
      <c r="G577" t="s">
        <v>2128</v>
      </c>
      <c r="H577" t="s">
        <v>2128</v>
      </c>
      <c r="I577" t="s">
        <v>2144</v>
      </c>
      <c r="J577" t="s">
        <v>2147</v>
      </c>
      <c r="K577" t="s">
        <v>2155</v>
      </c>
      <c r="L577" s="3">
        <v>4</v>
      </c>
      <c r="M577" s="2">
        <v>724.04</v>
      </c>
      <c r="N577" s="5">
        <v>0.1</v>
      </c>
      <c r="O577" s="2">
        <v>2606.54</v>
      </c>
      <c r="P577" s="2">
        <v>718.92</v>
      </c>
      <c r="Q577" t="s">
        <v>2169</v>
      </c>
    </row>
    <row r="578" spans="1:17">
      <c r="A578" t="s">
        <v>593</v>
      </c>
      <c r="B578" s="1">
        <v>45798</v>
      </c>
      <c r="C578" t="s">
        <v>1650</v>
      </c>
      <c r="D578" t="s">
        <v>1948</v>
      </c>
      <c r="E578" t="s">
        <v>2113</v>
      </c>
      <c r="F578" t="s">
        <v>2117</v>
      </c>
      <c r="G578" t="s">
        <v>2121</v>
      </c>
      <c r="H578" t="s">
        <v>2132</v>
      </c>
      <c r="I578" t="s">
        <v>2144</v>
      </c>
      <c r="J578" t="s">
        <v>2147</v>
      </c>
      <c r="K578" t="s">
        <v>2155</v>
      </c>
      <c r="L578" s="3">
        <v>2</v>
      </c>
      <c r="M578" s="2">
        <v>717.93</v>
      </c>
      <c r="N578" s="5">
        <v>0</v>
      </c>
      <c r="O578" s="2">
        <v>1435.86</v>
      </c>
      <c r="P578" s="2">
        <v>298.76</v>
      </c>
      <c r="Q578" t="s">
        <v>2169</v>
      </c>
    </row>
    <row r="579" spans="1:17">
      <c r="A579" t="s">
        <v>594</v>
      </c>
      <c r="B579" s="1">
        <v>45799</v>
      </c>
      <c r="C579" t="s">
        <v>1781</v>
      </c>
      <c r="D579" t="s">
        <v>2079</v>
      </c>
      <c r="E579" t="s">
        <v>2114</v>
      </c>
      <c r="F579" t="s">
        <v>2117</v>
      </c>
      <c r="G579" t="s">
        <v>2125</v>
      </c>
      <c r="H579" t="s">
        <v>2136</v>
      </c>
      <c r="I579" t="s">
        <v>2143</v>
      </c>
      <c r="J579" t="s">
        <v>2146</v>
      </c>
      <c r="K579" t="s">
        <v>2154</v>
      </c>
      <c r="L579" s="3">
        <v>1</v>
      </c>
      <c r="M579" s="2">
        <v>40768.39</v>
      </c>
      <c r="N579" s="5">
        <v>0.05</v>
      </c>
      <c r="O579" s="2">
        <v>38729.97</v>
      </c>
      <c r="P579" s="2">
        <v>3742.34</v>
      </c>
      <c r="Q579" t="s">
        <v>2169</v>
      </c>
    </row>
    <row r="580" spans="1:17">
      <c r="A580" t="s">
        <v>595</v>
      </c>
      <c r="B580" s="1">
        <v>45799</v>
      </c>
      <c r="C580" t="s">
        <v>1786</v>
      </c>
      <c r="D580" t="s">
        <v>2084</v>
      </c>
      <c r="E580" t="s">
        <v>2113</v>
      </c>
      <c r="F580" t="s">
        <v>2118</v>
      </c>
      <c r="G580" t="s">
        <v>2122</v>
      </c>
      <c r="H580" t="s">
        <v>2133</v>
      </c>
      <c r="I580" t="s">
        <v>2144</v>
      </c>
      <c r="J580" t="s">
        <v>2152</v>
      </c>
      <c r="K580" t="s">
        <v>2162</v>
      </c>
      <c r="L580" s="3">
        <v>3</v>
      </c>
      <c r="M580" s="2">
        <v>362.32</v>
      </c>
      <c r="N580" s="5">
        <v>0.15</v>
      </c>
      <c r="O580" s="2">
        <v>923.92</v>
      </c>
      <c r="P580" s="2">
        <v>282.88</v>
      </c>
      <c r="Q580" t="s">
        <v>2169</v>
      </c>
    </row>
    <row r="581" spans="1:17">
      <c r="A581" t="s">
        <v>596</v>
      </c>
      <c r="B581" s="1">
        <v>45799</v>
      </c>
      <c r="C581" t="s">
        <v>1730</v>
      </c>
      <c r="D581" t="s">
        <v>2028</v>
      </c>
      <c r="E581" t="s">
        <v>2113</v>
      </c>
      <c r="F581" t="s">
        <v>2119</v>
      </c>
      <c r="G581" t="s">
        <v>2124</v>
      </c>
      <c r="H581" t="s">
        <v>2135</v>
      </c>
      <c r="I581" t="s">
        <v>2143</v>
      </c>
      <c r="J581" t="s">
        <v>2149</v>
      </c>
      <c r="K581" t="s">
        <v>2158</v>
      </c>
      <c r="L581" s="3">
        <v>5</v>
      </c>
      <c r="M581" s="2">
        <v>50096.75</v>
      </c>
      <c r="N581" s="5">
        <v>0.1</v>
      </c>
      <c r="O581" s="2">
        <v>225435.38</v>
      </c>
      <c r="P581" s="2">
        <v>15069.51</v>
      </c>
      <c r="Q581" t="s">
        <v>2167</v>
      </c>
    </row>
    <row r="582" spans="1:17">
      <c r="A582" t="s">
        <v>597</v>
      </c>
      <c r="B582" s="1">
        <v>45799</v>
      </c>
      <c r="C582" t="s">
        <v>1773</v>
      </c>
      <c r="D582" t="s">
        <v>2071</v>
      </c>
      <c r="E582" t="s">
        <v>2114</v>
      </c>
      <c r="F582" t="s">
        <v>2116</v>
      </c>
      <c r="G582" t="s">
        <v>2127</v>
      </c>
      <c r="H582" t="s">
        <v>2138</v>
      </c>
      <c r="I582" t="s">
        <v>2142</v>
      </c>
      <c r="J582" t="s">
        <v>2145</v>
      </c>
      <c r="K582" t="s">
        <v>2165</v>
      </c>
      <c r="L582" s="3">
        <v>1</v>
      </c>
      <c r="M582" s="2">
        <v>6430.88</v>
      </c>
      <c r="N582" s="5">
        <v>0.1</v>
      </c>
      <c r="O582" s="2">
        <v>5787.79</v>
      </c>
      <c r="P582" s="2">
        <v>888.67</v>
      </c>
      <c r="Q582" t="s">
        <v>2167</v>
      </c>
    </row>
    <row r="583" spans="1:17">
      <c r="A583" t="s">
        <v>598</v>
      </c>
      <c r="B583" s="1">
        <v>45799</v>
      </c>
      <c r="C583" t="s">
        <v>1776</v>
      </c>
      <c r="D583" t="s">
        <v>2074</v>
      </c>
      <c r="E583" t="s">
        <v>2115</v>
      </c>
      <c r="F583" t="s">
        <v>2117</v>
      </c>
      <c r="G583" t="s">
        <v>2125</v>
      </c>
      <c r="H583" t="s">
        <v>2136</v>
      </c>
      <c r="I583" t="s">
        <v>2142</v>
      </c>
      <c r="J583" t="s">
        <v>2145</v>
      </c>
      <c r="K583" t="s">
        <v>2165</v>
      </c>
      <c r="L583" s="3">
        <v>2</v>
      </c>
      <c r="M583" s="2">
        <v>6415.71</v>
      </c>
      <c r="N583" s="5">
        <v>0.05</v>
      </c>
      <c r="O583" s="2">
        <v>12189.85</v>
      </c>
      <c r="P583" s="2">
        <v>1361.46</v>
      </c>
      <c r="Q583" t="s">
        <v>2167</v>
      </c>
    </row>
    <row r="584" spans="1:17">
      <c r="A584" t="s">
        <v>599</v>
      </c>
      <c r="B584" s="1">
        <v>45800</v>
      </c>
      <c r="C584" t="s">
        <v>1787</v>
      </c>
      <c r="D584" t="s">
        <v>2085</v>
      </c>
      <c r="E584" t="s">
        <v>2113</v>
      </c>
      <c r="F584" t="s">
        <v>2116</v>
      </c>
      <c r="G584" t="s">
        <v>2127</v>
      </c>
      <c r="H584" t="s">
        <v>2138</v>
      </c>
      <c r="I584" t="s">
        <v>2143</v>
      </c>
      <c r="J584" t="s">
        <v>2146</v>
      </c>
      <c r="K584" t="s">
        <v>2164</v>
      </c>
      <c r="L584" s="3">
        <v>1</v>
      </c>
      <c r="M584" s="2">
        <v>17640.95</v>
      </c>
      <c r="N584" s="5">
        <v>0.15</v>
      </c>
      <c r="O584" s="2">
        <v>14994.81</v>
      </c>
      <c r="P584" s="2">
        <v>1161.5999999999999</v>
      </c>
      <c r="Q584" t="s">
        <v>2169</v>
      </c>
    </row>
    <row r="585" spans="1:17">
      <c r="A585" t="s">
        <v>600</v>
      </c>
      <c r="B585" s="1">
        <v>45800</v>
      </c>
      <c r="C585" t="s">
        <v>1647</v>
      </c>
      <c r="D585" t="s">
        <v>1945</v>
      </c>
      <c r="E585" t="s">
        <v>2114</v>
      </c>
      <c r="F585" t="s">
        <v>2118</v>
      </c>
      <c r="G585" t="s">
        <v>2126</v>
      </c>
      <c r="H585" t="s">
        <v>2137</v>
      </c>
      <c r="I585" t="s">
        <v>2143</v>
      </c>
      <c r="J585" t="s">
        <v>2149</v>
      </c>
      <c r="K585" t="s">
        <v>2163</v>
      </c>
      <c r="L585" s="3">
        <v>2</v>
      </c>
      <c r="M585" s="2">
        <v>67878.240000000005</v>
      </c>
      <c r="N585" s="5">
        <v>0</v>
      </c>
      <c r="O585" s="2">
        <v>135756.48000000001</v>
      </c>
      <c r="P585" s="2">
        <v>16389.47</v>
      </c>
      <c r="Q585" t="s">
        <v>2167</v>
      </c>
    </row>
    <row r="586" spans="1:17">
      <c r="A586" t="s">
        <v>601</v>
      </c>
      <c r="B586" s="1">
        <v>45800</v>
      </c>
      <c r="C586" t="s">
        <v>1788</v>
      </c>
      <c r="D586" t="s">
        <v>2086</v>
      </c>
      <c r="E586" t="s">
        <v>2113</v>
      </c>
      <c r="F586" t="s">
        <v>2117</v>
      </c>
      <c r="G586" t="s">
        <v>2125</v>
      </c>
      <c r="H586" t="s">
        <v>2136</v>
      </c>
      <c r="I586" t="s">
        <v>2142</v>
      </c>
      <c r="J586" t="s">
        <v>2151</v>
      </c>
      <c r="K586" t="s">
        <v>2160</v>
      </c>
      <c r="L586" s="3">
        <v>1</v>
      </c>
      <c r="M586" s="2">
        <v>8658.2999999999993</v>
      </c>
      <c r="N586" s="5">
        <v>0.2</v>
      </c>
      <c r="O586" s="2">
        <v>6926.64</v>
      </c>
      <c r="P586" s="2">
        <v>67.709999999999994</v>
      </c>
      <c r="Q586" t="s">
        <v>2170</v>
      </c>
    </row>
    <row r="587" spans="1:17">
      <c r="A587" t="s">
        <v>602</v>
      </c>
      <c r="B587" s="1">
        <v>45800</v>
      </c>
      <c r="C587" t="s">
        <v>1528</v>
      </c>
      <c r="D587" t="s">
        <v>1826</v>
      </c>
      <c r="E587" t="s">
        <v>2114</v>
      </c>
      <c r="F587" t="s">
        <v>2118</v>
      </c>
      <c r="G587" t="s">
        <v>2126</v>
      </c>
      <c r="H587" t="s">
        <v>2137</v>
      </c>
      <c r="I587" t="s">
        <v>2142</v>
      </c>
      <c r="J587" t="s">
        <v>2151</v>
      </c>
      <c r="K587" t="s">
        <v>2160</v>
      </c>
      <c r="L587" s="3">
        <v>3</v>
      </c>
      <c r="M587" s="2">
        <v>8407.92</v>
      </c>
      <c r="N587" s="5">
        <v>0.1</v>
      </c>
      <c r="O587" s="2">
        <v>22701.38</v>
      </c>
      <c r="P587" s="2">
        <v>4206.3500000000004</v>
      </c>
      <c r="Q587" t="s">
        <v>2167</v>
      </c>
    </row>
    <row r="588" spans="1:17">
      <c r="A588" t="s">
        <v>603</v>
      </c>
      <c r="B588" s="1">
        <v>45800</v>
      </c>
      <c r="C588" t="s">
        <v>1653</v>
      </c>
      <c r="D588" t="s">
        <v>1951</v>
      </c>
      <c r="E588" t="s">
        <v>2114</v>
      </c>
      <c r="F588" t="s">
        <v>2119</v>
      </c>
      <c r="G588" t="s">
        <v>2129</v>
      </c>
      <c r="H588" t="s">
        <v>2139</v>
      </c>
      <c r="I588" t="s">
        <v>2142</v>
      </c>
      <c r="J588" t="s">
        <v>2145</v>
      </c>
      <c r="K588" t="s">
        <v>2165</v>
      </c>
      <c r="L588" s="3">
        <v>4</v>
      </c>
      <c r="M588" s="2">
        <v>6610.34</v>
      </c>
      <c r="N588" s="5">
        <v>0.05</v>
      </c>
      <c r="O588" s="2">
        <v>25119.29</v>
      </c>
      <c r="P588" s="2">
        <v>4412.32</v>
      </c>
      <c r="Q588" t="s">
        <v>2170</v>
      </c>
    </row>
    <row r="589" spans="1:17">
      <c r="A589" t="s">
        <v>604</v>
      </c>
      <c r="B589" s="1">
        <v>45800</v>
      </c>
      <c r="C589" t="s">
        <v>1566</v>
      </c>
      <c r="D589" t="s">
        <v>1864</v>
      </c>
      <c r="E589" t="s">
        <v>2115</v>
      </c>
      <c r="F589" t="s">
        <v>2117</v>
      </c>
      <c r="G589" t="s">
        <v>2121</v>
      </c>
      <c r="H589" t="s">
        <v>2132</v>
      </c>
      <c r="I589" t="s">
        <v>2143</v>
      </c>
      <c r="J589" t="s">
        <v>2148</v>
      </c>
      <c r="K589" t="s">
        <v>2156</v>
      </c>
      <c r="L589" s="3">
        <v>1</v>
      </c>
      <c r="M589" s="2">
        <v>1149.05</v>
      </c>
      <c r="N589" s="5">
        <v>0.1</v>
      </c>
      <c r="O589" s="2">
        <v>1034.1400000000001</v>
      </c>
      <c r="P589" s="2">
        <v>90.85</v>
      </c>
      <c r="Q589" t="s">
        <v>2168</v>
      </c>
    </row>
    <row r="590" spans="1:17">
      <c r="A590" t="s">
        <v>605</v>
      </c>
      <c r="B590" s="1">
        <v>45800</v>
      </c>
      <c r="C590" t="s">
        <v>1716</v>
      </c>
      <c r="D590" t="s">
        <v>2014</v>
      </c>
      <c r="E590" t="s">
        <v>2115</v>
      </c>
      <c r="F590" t="s">
        <v>2117</v>
      </c>
      <c r="G590" t="s">
        <v>2123</v>
      </c>
      <c r="H590" t="s">
        <v>2134</v>
      </c>
      <c r="I590" t="s">
        <v>2142</v>
      </c>
      <c r="J590" t="s">
        <v>2145</v>
      </c>
      <c r="K590" t="s">
        <v>2165</v>
      </c>
      <c r="L590" s="3">
        <v>4</v>
      </c>
      <c r="M590" s="2">
        <v>6584.13</v>
      </c>
      <c r="N590" s="5">
        <v>0.1</v>
      </c>
      <c r="O590" s="2">
        <v>23702.87</v>
      </c>
      <c r="P590" s="2">
        <v>3107.12</v>
      </c>
      <c r="Q590" t="s">
        <v>2168</v>
      </c>
    </row>
    <row r="591" spans="1:17">
      <c r="A591" t="s">
        <v>606</v>
      </c>
      <c r="B591" s="1">
        <v>45801</v>
      </c>
      <c r="C591" t="s">
        <v>1593</v>
      </c>
      <c r="D591" t="s">
        <v>1891</v>
      </c>
      <c r="E591" t="s">
        <v>2114</v>
      </c>
      <c r="F591" t="s">
        <v>2117</v>
      </c>
      <c r="G591" t="s">
        <v>2125</v>
      </c>
      <c r="H591" t="s">
        <v>2136</v>
      </c>
      <c r="I591" t="s">
        <v>2143</v>
      </c>
      <c r="J591" t="s">
        <v>2146</v>
      </c>
      <c r="K591" t="s">
        <v>2154</v>
      </c>
      <c r="L591" s="3">
        <v>2</v>
      </c>
      <c r="M591" s="2">
        <v>41695.440000000002</v>
      </c>
      <c r="N591" s="5">
        <v>0.05</v>
      </c>
      <c r="O591" s="2">
        <v>79221.34</v>
      </c>
      <c r="P591" s="2">
        <v>9046.0400000000009</v>
      </c>
      <c r="Q591" t="s">
        <v>2170</v>
      </c>
    </row>
    <row r="592" spans="1:17">
      <c r="A592" t="s">
        <v>607</v>
      </c>
      <c r="B592" s="1">
        <v>45801</v>
      </c>
      <c r="C592" t="s">
        <v>1783</v>
      </c>
      <c r="D592" t="s">
        <v>2081</v>
      </c>
      <c r="E592" t="s">
        <v>2114</v>
      </c>
      <c r="F592" t="s">
        <v>2117</v>
      </c>
      <c r="G592" t="s">
        <v>2125</v>
      </c>
      <c r="H592" t="s">
        <v>2136</v>
      </c>
      <c r="I592" t="s">
        <v>2143</v>
      </c>
      <c r="J592" t="s">
        <v>2149</v>
      </c>
      <c r="K592" t="s">
        <v>2163</v>
      </c>
      <c r="L592" s="3">
        <v>1</v>
      </c>
      <c r="M592" s="2">
        <v>64137.31</v>
      </c>
      <c r="N592" s="5">
        <v>0.05</v>
      </c>
      <c r="O592" s="2">
        <v>60930.44</v>
      </c>
      <c r="P592" s="2">
        <v>12084.35</v>
      </c>
      <c r="Q592" t="s">
        <v>2167</v>
      </c>
    </row>
    <row r="593" spans="1:17">
      <c r="A593" t="s">
        <v>608</v>
      </c>
      <c r="B593" s="1">
        <v>45801</v>
      </c>
      <c r="C593" t="s">
        <v>1554</v>
      </c>
      <c r="D593" t="s">
        <v>1852</v>
      </c>
      <c r="E593" t="s">
        <v>2115</v>
      </c>
      <c r="F593" t="s">
        <v>2116</v>
      </c>
      <c r="G593" t="s">
        <v>2127</v>
      </c>
      <c r="H593" t="s">
        <v>2138</v>
      </c>
      <c r="I593" t="s">
        <v>2142</v>
      </c>
      <c r="J593" t="s">
        <v>2147</v>
      </c>
      <c r="K593" t="s">
        <v>2157</v>
      </c>
      <c r="L593" s="3">
        <v>2</v>
      </c>
      <c r="M593" s="2">
        <v>14738.07</v>
      </c>
      <c r="N593" s="5">
        <v>0</v>
      </c>
      <c r="O593" s="2">
        <v>29476.14</v>
      </c>
      <c r="P593" s="2">
        <v>4556.26</v>
      </c>
      <c r="Q593" t="s">
        <v>2170</v>
      </c>
    </row>
    <row r="594" spans="1:17">
      <c r="A594" t="s">
        <v>609</v>
      </c>
      <c r="B594" s="1">
        <v>45801</v>
      </c>
      <c r="C594" t="s">
        <v>1789</v>
      </c>
      <c r="D594" t="s">
        <v>2087</v>
      </c>
      <c r="E594" t="s">
        <v>2115</v>
      </c>
      <c r="F594" t="s">
        <v>2117</v>
      </c>
      <c r="G594" t="s">
        <v>2121</v>
      </c>
      <c r="H594" t="s">
        <v>2132</v>
      </c>
      <c r="I594" t="s">
        <v>2144</v>
      </c>
      <c r="J594" t="s">
        <v>2150</v>
      </c>
      <c r="K594" t="s">
        <v>2159</v>
      </c>
      <c r="L594" s="3">
        <v>1</v>
      </c>
      <c r="M594" s="2">
        <v>451.1</v>
      </c>
      <c r="N594" s="5">
        <v>0.1</v>
      </c>
      <c r="O594" s="2">
        <v>405.99</v>
      </c>
      <c r="P594" s="2">
        <v>130.88</v>
      </c>
      <c r="Q594" t="s">
        <v>2167</v>
      </c>
    </row>
    <row r="595" spans="1:17">
      <c r="A595" t="s">
        <v>610</v>
      </c>
      <c r="B595" s="1">
        <v>45801</v>
      </c>
      <c r="C595" t="s">
        <v>1596</v>
      </c>
      <c r="D595" t="s">
        <v>1894</v>
      </c>
      <c r="E595" t="s">
        <v>2115</v>
      </c>
      <c r="F595" t="s">
        <v>2117</v>
      </c>
      <c r="G595" t="s">
        <v>2123</v>
      </c>
      <c r="H595" t="s">
        <v>2134</v>
      </c>
      <c r="I595" t="s">
        <v>2142</v>
      </c>
      <c r="J595" t="s">
        <v>2147</v>
      </c>
      <c r="K595" t="s">
        <v>2157</v>
      </c>
      <c r="L595" s="3">
        <v>3</v>
      </c>
      <c r="M595" s="2">
        <v>15059.15</v>
      </c>
      <c r="N595" s="5">
        <v>0.05</v>
      </c>
      <c r="O595" s="2">
        <v>42918.58</v>
      </c>
      <c r="P595" s="2">
        <v>6076.03</v>
      </c>
      <c r="Q595" t="s">
        <v>2167</v>
      </c>
    </row>
    <row r="596" spans="1:17">
      <c r="A596" t="s">
        <v>611</v>
      </c>
      <c r="B596" s="1">
        <v>45801</v>
      </c>
      <c r="C596" t="s">
        <v>1661</v>
      </c>
      <c r="D596" t="s">
        <v>1959</v>
      </c>
      <c r="E596" t="s">
        <v>2114</v>
      </c>
      <c r="F596" t="s">
        <v>2116</v>
      </c>
      <c r="G596" t="s">
        <v>2127</v>
      </c>
      <c r="H596" t="s">
        <v>2140</v>
      </c>
      <c r="I596" t="s">
        <v>2142</v>
      </c>
      <c r="J596" t="s">
        <v>2147</v>
      </c>
      <c r="K596" t="s">
        <v>2157</v>
      </c>
      <c r="L596" s="3">
        <v>3</v>
      </c>
      <c r="M596" s="2">
        <v>14453.94</v>
      </c>
      <c r="N596" s="5">
        <v>0.05</v>
      </c>
      <c r="O596" s="2">
        <v>41193.730000000003</v>
      </c>
      <c r="P596" s="2">
        <v>8661.99</v>
      </c>
      <c r="Q596" t="s">
        <v>2170</v>
      </c>
    </row>
    <row r="597" spans="1:17">
      <c r="A597" t="s">
        <v>612</v>
      </c>
      <c r="B597" s="1">
        <v>45802</v>
      </c>
      <c r="C597" t="s">
        <v>1716</v>
      </c>
      <c r="D597" t="s">
        <v>2014</v>
      </c>
      <c r="E597" t="s">
        <v>2114</v>
      </c>
      <c r="F597" t="s">
        <v>2116</v>
      </c>
      <c r="G597" t="s">
        <v>2127</v>
      </c>
      <c r="H597" t="s">
        <v>2138</v>
      </c>
      <c r="I597" t="s">
        <v>2142</v>
      </c>
      <c r="J597" t="s">
        <v>2145</v>
      </c>
      <c r="K597" t="s">
        <v>2165</v>
      </c>
      <c r="L597" s="3">
        <v>5</v>
      </c>
      <c r="M597" s="2">
        <v>6635.19</v>
      </c>
      <c r="N597" s="5">
        <v>0.15</v>
      </c>
      <c r="O597" s="2">
        <v>28199.56</v>
      </c>
      <c r="P597" s="2">
        <v>2281.46</v>
      </c>
      <c r="Q597" t="s">
        <v>2170</v>
      </c>
    </row>
    <row r="598" spans="1:17">
      <c r="A598" t="s">
        <v>613</v>
      </c>
      <c r="B598" s="1">
        <v>45802</v>
      </c>
      <c r="C598" t="s">
        <v>1531</v>
      </c>
      <c r="D598" t="s">
        <v>1829</v>
      </c>
      <c r="E598" t="s">
        <v>2113</v>
      </c>
      <c r="F598" t="s">
        <v>2117</v>
      </c>
      <c r="G598" t="s">
        <v>2125</v>
      </c>
      <c r="H598" t="s">
        <v>2136</v>
      </c>
      <c r="I598" t="s">
        <v>2142</v>
      </c>
      <c r="J598" t="s">
        <v>2147</v>
      </c>
      <c r="K598" t="s">
        <v>2157</v>
      </c>
      <c r="L598" s="3">
        <v>3</v>
      </c>
      <c r="M598" s="2">
        <v>13921.36</v>
      </c>
      <c r="N598" s="5">
        <v>0</v>
      </c>
      <c r="O598" s="2">
        <v>41764.080000000002</v>
      </c>
      <c r="P598" s="2">
        <v>10818.19</v>
      </c>
      <c r="Q598" t="s">
        <v>2168</v>
      </c>
    </row>
    <row r="599" spans="1:17">
      <c r="A599" t="s">
        <v>614</v>
      </c>
      <c r="B599" s="1">
        <v>45802</v>
      </c>
      <c r="C599" t="s">
        <v>1685</v>
      </c>
      <c r="D599" t="s">
        <v>1983</v>
      </c>
      <c r="E599" t="s">
        <v>2114</v>
      </c>
      <c r="F599" t="s">
        <v>2117</v>
      </c>
      <c r="G599" t="s">
        <v>2123</v>
      </c>
      <c r="H599" t="s">
        <v>2134</v>
      </c>
      <c r="I599" t="s">
        <v>2144</v>
      </c>
      <c r="J599" t="s">
        <v>2147</v>
      </c>
      <c r="K599" t="s">
        <v>2155</v>
      </c>
      <c r="L599" s="3">
        <v>2</v>
      </c>
      <c r="M599" s="2">
        <v>753.43</v>
      </c>
      <c r="N599" s="5">
        <v>0.15</v>
      </c>
      <c r="O599" s="2">
        <v>1280.83</v>
      </c>
      <c r="P599" s="2">
        <v>288.77</v>
      </c>
      <c r="Q599" t="s">
        <v>2168</v>
      </c>
    </row>
    <row r="600" spans="1:17">
      <c r="A600" t="s">
        <v>615</v>
      </c>
      <c r="B600" s="1">
        <v>45802</v>
      </c>
      <c r="C600" t="s">
        <v>1604</v>
      </c>
      <c r="D600" t="s">
        <v>1902</v>
      </c>
      <c r="E600" t="s">
        <v>2113</v>
      </c>
      <c r="F600" t="s">
        <v>2116</v>
      </c>
      <c r="G600" t="s">
        <v>2127</v>
      </c>
      <c r="H600" t="s">
        <v>2138</v>
      </c>
      <c r="I600" t="s">
        <v>2143</v>
      </c>
      <c r="J600" t="s">
        <v>2148</v>
      </c>
      <c r="K600" t="s">
        <v>2156</v>
      </c>
      <c r="L600" s="3">
        <v>2</v>
      </c>
      <c r="M600" s="2">
        <v>1214.8800000000001</v>
      </c>
      <c r="N600" s="5">
        <v>0</v>
      </c>
      <c r="O600" s="2">
        <v>2429.7600000000002</v>
      </c>
      <c r="P600" s="2">
        <v>287.45999999999998</v>
      </c>
      <c r="Q600" t="s">
        <v>2167</v>
      </c>
    </row>
    <row r="601" spans="1:17">
      <c r="A601" t="s">
        <v>616</v>
      </c>
      <c r="B601" s="1">
        <v>45802</v>
      </c>
      <c r="C601" t="s">
        <v>1689</v>
      </c>
      <c r="D601" t="s">
        <v>1987</v>
      </c>
      <c r="E601" t="s">
        <v>2115</v>
      </c>
      <c r="F601" t="s">
        <v>2116</v>
      </c>
      <c r="G601" t="s">
        <v>2127</v>
      </c>
      <c r="H601" t="s">
        <v>2140</v>
      </c>
      <c r="I601" t="s">
        <v>2143</v>
      </c>
      <c r="J601" t="s">
        <v>2148</v>
      </c>
      <c r="K601" t="s">
        <v>2161</v>
      </c>
      <c r="L601" s="3">
        <v>1</v>
      </c>
      <c r="M601" s="2">
        <v>1886.15</v>
      </c>
      <c r="N601" s="5">
        <v>0.1</v>
      </c>
      <c r="O601" s="2">
        <v>1697.54</v>
      </c>
      <c r="P601" s="2">
        <v>207.04</v>
      </c>
      <c r="Q601" t="s">
        <v>2169</v>
      </c>
    </row>
    <row r="602" spans="1:17">
      <c r="A602" t="s">
        <v>617</v>
      </c>
      <c r="B602" s="1">
        <v>45803</v>
      </c>
      <c r="C602" t="s">
        <v>1624</v>
      </c>
      <c r="D602" t="s">
        <v>1922</v>
      </c>
      <c r="E602" t="s">
        <v>2115</v>
      </c>
      <c r="F602" t="s">
        <v>2119</v>
      </c>
      <c r="G602" t="s">
        <v>2124</v>
      </c>
      <c r="H602" t="s">
        <v>2135</v>
      </c>
      <c r="I602" t="s">
        <v>2142</v>
      </c>
      <c r="J602" t="s">
        <v>2151</v>
      </c>
      <c r="K602" t="s">
        <v>2160</v>
      </c>
      <c r="L602" s="3">
        <v>1</v>
      </c>
      <c r="M602" s="2">
        <v>8249.01</v>
      </c>
      <c r="N602" s="5">
        <v>0.05</v>
      </c>
      <c r="O602" s="2">
        <v>7836.56</v>
      </c>
      <c r="P602" s="2">
        <v>1547.91</v>
      </c>
      <c r="Q602" t="s">
        <v>2167</v>
      </c>
    </row>
    <row r="603" spans="1:17">
      <c r="A603" t="s">
        <v>618</v>
      </c>
      <c r="B603" s="1">
        <v>45803</v>
      </c>
      <c r="C603" t="s">
        <v>1639</v>
      </c>
      <c r="D603" t="s">
        <v>1937</v>
      </c>
      <c r="E603" t="s">
        <v>2114</v>
      </c>
      <c r="F603" t="s">
        <v>2118</v>
      </c>
      <c r="G603" t="s">
        <v>2122</v>
      </c>
      <c r="H603" t="s">
        <v>2133</v>
      </c>
      <c r="I603" t="s">
        <v>2144</v>
      </c>
      <c r="J603" t="s">
        <v>2152</v>
      </c>
      <c r="K603" t="s">
        <v>2166</v>
      </c>
      <c r="L603" s="3">
        <v>2</v>
      </c>
      <c r="M603" s="2">
        <v>578.51</v>
      </c>
      <c r="N603" s="5">
        <v>0</v>
      </c>
      <c r="O603" s="2">
        <v>1157.02</v>
      </c>
      <c r="P603" s="2">
        <v>237.08</v>
      </c>
      <c r="Q603" t="s">
        <v>2168</v>
      </c>
    </row>
    <row r="604" spans="1:17">
      <c r="A604" t="s">
        <v>619</v>
      </c>
      <c r="B604" s="1">
        <v>45803</v>
      </c>
      <c r="C604" t="s">
        <v>1651</v>
      </c>
      <c r="D604" t="s">
        <v>1949</v>
      </c>
      <c r="E604" t="s">
        <v>2114</v>
      </c>
      <c r="F604" t="s">
        <v>2116</v>
      </c>
      <c r="G604" t="s">
        <v>2127</v>
      </c>
      <c r="H604" t="s">
        <v>2140</v>
      </c>
      <c r="I604" t="s">
        <v>2142</v>
      </c>
      <c r="J604" t="s">
        <v>2151</v>
      </c>
      <c r="K604" t="s">
        <v>2160</v>
      </c>
      <c r="L604" s="3">
        <v>1</v>
      </c>
      <c r="M604" s="2">
        <v>8813.6200000000008</v>
      </c>
      <c r="N604" s="5">
        <v>0.05</v>
      </c>
      <c r="O604" s="2">
        <v>8372.94</v>
      </c>
      <c r="P604" s="2">
        <v>2174.48</v>
      </c>
      <c r="Q604" t="s">
        <v>2168</v>
      </c>
    </row>
    <row r="605" spans="1:17">
      <c r="A605" t="s">
        <v>620</v>
      </c>
      <c r="B605" s="1">
        <v>45803</v>
      </c>
      <c r="C605" t="s">
        <v>1647</v>
      </c>
      <c r="D605" t="s">
        <v>1945</v>
      </c>
      <c r="E605" t="s">
        <v>2113</v>
      </c>
      <c r="F605" t="s">
        <v>2118</v>
      </c>
      <c r="G605" t="s">
        <v>2128</v>
      </c>
      <c r="H605" t="s">
        <v>2128</v>
      </c>
      <c r="I605" t="s">
        <v>2144</v>
      </c>
      <c r="J605" t="s">
        <v>2150</v>
      </c>
      <c r="K605" t="s">
        <v>2159</v>
      </c>
      <c r="L605" s="3">
        <v>3</v>
      </c>
      <c r="M605" s="2">
        <v>428.71</v>
      </c>
      <c r="N605" s="5">
        <v>0.1</v>
      </c>
      <c r="O605" s="2">
        <v>1157.52</v>
      </c>
      <c r="P605" s="2">
        <v>360.42</v>
      </c>
      <c r="Q605" t="s">
        <v>2167</v>
      </c>
    </row>
    <row r="606" spans="1:17">
      <c r="A606" t="s">
        <v>621</v>
      </c>
      <c r="B606" s="1">
        <v>45803</v>
      </c>
      <c r="C606" t="s">
        <v>1687</v>
      </c>
      <c r="D606" t="s">
        <v>1985</v>
      </c>
      <c r="E606" t="s">
        <v>2114</v>
      </c>
      <c r="F606" t="s">
        <v>2119</v>
      </c>
      <c r="G606" t="s">
        <v>2129</v>
      </c>
      <c r="H606" t="s">
        <v>2139</v>
      </c>
      <c r="I606" t="s">
        <v>2142</v>
      </c>
      <c r="J606" t="s">
        <v>2145</v>
      </c>
      <c r="K606" t="s">
        <v>2165</v>
      </c>
      <c r="L606" s="3">
        <v>1</v>
      </c>
      <c r="M606" s="2">
        <v>6630.47</v>
      </c>
      <c r="N606" s="5">
        <v>0.1</v>
      </c>
      <c r="O606" s="2">
        <v>5967.42</v>
      </c>
      <c r="P606" s="2">
        <v>1078.77</v>
      </c>
      <c r="Q606" t="s">
        <v>2168</v>
      </c>
    </row>
    <row r="607" spans="1:17">
      <c r="A607" t="s">
        <v>622</v>
      </c>
      <c r="B607" s="1">
        <v>45804</v>
      </c>
      <c r="C607" t="s">
        <v>1574</v>
      </c>
      <c r="D607" t="s">
        <v>1872</v>
      </c>
      <c r="E607" t="s">
        <v>2115</v>
      </c>
      <c r="F607" t="s">
        <v>2119</v>
      </c>
      <c r="G607" t="s">
        <v>2129</v>
      </c>
      <c r="H607" t="s">
        <v>2139</v>
      </c>
      <c r="I607" t="s">
        <v>2144</v>
      </c>
      <c r="J607" t="s">
        <v>2152</v>
      </c>
      <c r="K607" t="s">
        <v>2162</v>
      </c>
      <c r="L607" s="3">
        <v>2</v>
      </c>
      <c r="M607" s="2">
        <v>355</v>
      </c>
      <c r="N607" s="5">
        <v>0</v>
      </c>
      <c r="O607" s="2">
        <v>710</v>
      </c>
      <c r="P607" s="2">
        <v>189.95</v>
      </c>
      <c r="Q607" t="s">
        <v>2170</v>
      </c>
    </row>
    <row r="608" spans="1:17">
      <c r="A608" t="s">
        <v>623</v>
      </c>
      <c r="B608" s="1">
        <v>45805</v>
      </c>
      <c r="C608" t="s">
        <v>1708</v>
      </c>
      <c r="D608" t="s">
        <v>2006</v>
      </c>
      <c r="E608" t="s">
        <v>2113</v>
      </c>
      <c r="F608" t="s">
        <v>2118</v>
      </c>
      <c r="G608" t="s">
        <v>2126</v>
      </c>
      <c r="H608" t="s">
        <v>2137</v>
      </c>
      <c r="I608" t="s">
        <v>2144</v>
      </c>
      <c r="J608" t="s">
        <v>2147</v>
      </c>
      <c r="K608" t="s">
        <v>2155</v>
      </c>
      <c r="L608" s="3">
        <v>1</v>
      </c>
      <c r="M608" s="2">
        <v>714.06</v>
      </c>
      <c r="N608" s="5">
        <v>0</v>
      </c>
      <c r="O608" s="2">
        <v>714.06</v>
      </c>
      <c r="P608" s="2">
        <v>196.9</v>
      </c>
      <c r="Q608" t="s">
        <v>2170</v>
      </c>
    </row>
    <row r="609" spans="1:17">
      <c r="A609" t="s">
        <v>624</v>
      </c>
      <c r="B609" s="1">
        <v>45805</v>
      </c>
      <c r="C609" t="s">
        <v>1587</v>
      </c>
      <c r="D609" t="s">
        <v>1885</v>
      </c>
      <c r="E609" t="s">
        <v>2114</v>
      </c>
      <c r="F609" t="s">
        <v>2117</v>
      </c>
      <c r="G609" t="s">
        <v>2121</v>
      </c>
      <c r="H609" t="s">
        <v>2132</v>
      </c>
      <c r="I609" t="s">
        <v>2143</v>
      </c>
      <c r="J609" t="s">
        <v>2148</v>
      </c>
      <c r="K609" t="s">
        <v>2161</v>
      </c>
      <c r="L609" s="3">
        <v>2</v>
      </c>
      <c r="M609" s="2">
        <v>1876.59</v>
      </c>
      <c r="N609" s="5">
        <v>0</v>
      </c>
      <c r="O609" s="2">
        <v>3753.18</v>
      </c>
      <c r="P609" s="2">
        <v>336.16</v>
      </c>
      <c r="Q609" t="s">
        <v>2170</v>
      </c>
    </row>
    <row r="610" spans="1:17">
      <c r="A610" t="s">
        <v>625</v>
      </c>
      <c r="B610" s="1">
        <v>45805</v>
      </c>
      <c r="C610" t="s">
        <v>1790</v>
      </c>
      <c r="D610" t="s">
        <v>2088</v>
      </c>
      <c r="E610" t="s">
        <v>2113</v>
      </c>
      <c r="F610" t="s">
        <v>2116</v>
      </c>
      <c r="G610" t="s">
        <v>2127</v>
      </c>
      <c r="H610" t="s">
        <v>2138</v>
      </c>
      <c r="I610" t="s">
        <v>2144</v>
      </c>
      <c r="J610" t="s">
        <v>2152</v>
      </c>
      <c r="K610" t="s">
        <v>2166</v>
      </c>
      <c r="L610" s="3">
        <v>2</v>
      </c>
      <c r="M610" s="2">
        <v>600.79</v>
      </c>
      <c r="N610" s="5">
        <v>0</v>
      </c>
      <c r="O610" s="2">
        <v>1201.58</v>
      </c>
      <c r="P610" s="2">
        <v>211.6</v>
      </c>
      <c r="Q610" t="s">
        <v>2167</v>
      </c>
    </row>
    <row r="611" spans="1:17">
      <c r="A611" t="s">
        <v>626</v>
      </c>
      <c r="B611" s="1">
        <v>45806</v>
      </c>
      <c r="C611" t="s">
        <v>1697</v>
      </c>
      <c r="D611" t="s">
        <v>1995</v>
      </c>
      <c r="E611" t="s">
        <v>2114</v>
      </c>
      <c r="F611" t="s">
        <v>2116</v>
      </c>
      <c r="G611" t="s">
        <v>2127</v>
      </c>
      <c r="H611" t="s">
        <v>2140</v>
      </c>
      <c r="I611" t="s">
        <v>2142</v>
      </c>
      <c r="J611" t="s">
        <v>2151</v>
      </c>
      <c r="K611" t="s">
        <v>2160</v>
      </c>
      <c r="L611" s="3">
        <v>3</v>
      </c>
      <c r="M611" s="2">
        <v>8708.7800000000007</v>
      </c>
      <c r="N611" s="5">
        <v>0</v>
      </c>
      <c r="O611" s="2">
        <v>26126.34</v>
      </c>
      <c r="P611" s="2">
        <v>7297.06</v>
      </c>
      <c r="Q611" t="s">
        <v>2170</v>
      </c>
    </row>
    <row r="612" spans="1:17">
      <c r="A612" t="s">
        <v>627</v>
      </c>
      <c r="B612" s="1">
        <v>45806</v>
      </c>
      <c r="C612" t="s">
        <v>1561</v>
      </c>
      <c r="D612" t="s">
        <v>1859</v>
      </c>
      <c r="E612" t="s">
        <v>2114</v>
      </c>
      <c r="F612" t="s">
        <v>2119</v>
      </c>
      <c r="G612" t="s">
        <v>2129</v>
      </c>
      <c r="H612" t="s">
        <v>2139</v>
      </c>
      <c r="I612" t="s">
        <v>2144</v>
      </c>
      <c r="J612" t="s">
        <v>2147</v>
      </c>
      <c r="K612" t="s">
        <v>2155</v>
      </c>
      <c r="L612" s="3">
        <v>2</v>
      </c>
      <c r="M612" s="2">
        <v>712.94</v>
      </c>
      <c r="N612" s="5">
        <v>0.1</v>
      </c>
      <c r="O612" s="2">
        <v>1283.29</v>
      </c>
      <c r="P612" s="2">
        <v>171.54</v>
      </c>
      <c r="Q612" t="s">
        <v>2169</v>
      </c>
    </row>
    <row r="613" spans="1:17">
      <c r="A613" t="s">
        <v>628</v>
      </c>
      <c r="B613" s="1">
        <v>45806</v>
      </c>
      <c r="C613" t="s">
        <v>1619</v>
      </c>
      <c r="D613" t="s">
        <v>1917</v>
      </c>
      <c r="E613" t="s">
        <v>2114</v>
      </c>
      <c r="F613" t="s">
        <v>2116</v>
      </c>
      <c r="G613" t="s">
        <v>2127</v>
      </c>
      <c r="H613" t="s">
        <v>2138</v>
      </c>
      <c r="I613" t="s">
        <v>2144</v>
      </c>
      <c r="J613" t="s">
        <v>2150</v>
      </c>
      <c r="K613" t="s">
        <v>2159</v>
      </c>
      <c r="L613" s="3">
        <v>3</v>
      </c>
      <c r="M613" s="2">
        <v>440.88</v>
      </c>
      <c r="N613" s="5">
        <v>0.1</v>
      </c>
      <c r="O613" s="2">
        <v>1190.3800000000001</v>
      </c>
      <c r="P613" s="2">
        <v>264.02999999999997</v>
      </c>
      <c r="Q613" t="s">
        <v>2167</v>
      </c>
    </row>
    <row r="614" spans="1:17">
      <c r="A614" t="s">
        <v>629</v>
      </c>
      <c r="B614" s="1">
        <v>45807</v>
      </c>
      <c r="C614" t="s">
        <v>1779</v>
      </c>
      <c r="D614" t="s">
        <v>2077</v>
      </c>
      <c r="E614" t="s">
        <v>2113</v>
      </c>
      <c r="F614" t="s">
        <v>2117</v>
      </c>
      <c r="G614" t="s">
        <v>2125</v>
      </c>
      <c r="H614" t="s">
        <v>2136</v>
      </c>
      <c r="I614" t="s">
        <v>2144</v>
      </c>
      <c r="J614" t="s">
        <v>2152</v>
      </c>
      <c r="K614" t="s">
        <v>2166</v>
      </c>
      <c r="L614" s="3">
        <v>5</v>
      </c>
      <c r="M614" s="2">
        <v>618.22</v>
      </c>
      <c r="N614" s="5">
        <v>0.15</v>
      </c>
      <c r="O614" s="2">
        <v>2627.44</v>
      </c>
      <c r="P614" s="2">
        <v>615.65</v>
      </c>
      <c r="Q614" t="s">
        <v>2168</v>
      </c>
    </row>
    <row r="615" spans="1:17">
      <c r="A615" t="s">
        <v>630</v>
      </c>
      <c r="B615" s="1">
        <v>45808</v>
      </c>
      <c r="C615" t="s">
        <v>1535</v>
      </c>
      <c r="D615" t="s">
        <v>1833</v>
      </c>
      <c r="E615" t="s">
        <v>2114</v>
      </c>
      <c r="F615" t="s">
        <v>2116</v>
      </c>
      <c r="G615" t="s">
        <v>2120</v>
      </c>
      <c r="H615" t="s">
        <v>2131</v>
      </c>
      <c r="I615" t="s">
        <v>2143</v>
      </c>
      <c r="J615" t="s">
        <v>2146</v>
      </c>
      <c r="K615" t="s">
        <v>2164</v>
      </c>
      <c r="L615" s="3">
        <v>1</v>
      </c>
      <c r="M615" s="2">
        <v>17815.63</v>
      </c>
      <c r="N615" s="5">
        <v>0.2</v>
      </c>
      <c r="O615" s="2">
        <v>14252.5</v>
      </c>
      <c r="P615" s="2">
        <v>1291.27</v>
      </c>
      <c r="Q615" t="s">
        <v>2168</v>
      </c>
    </row>
    <row r="616" spans="1:17">
      <c r="A616" t="s">
        <v>631</v>
      </c>
      <c r="B616" s="1">
        <v>45808</v>
      </c>
      <c r="C616" t="s">
        <v>1646</v>
      </c>
      <c r="D616" t="s">
        <v>1944</v>
      </c>
      <c r="E616" t="s">
        <v>2115</v>
      </c>
      <c r="F616" t="s">
        <v>2118</v>
      </c>
      <c r="G616" t="s">
        <v>2126</v>
      </c>
      <c r="H616" t="s">
        <v>2137</v>
      </c>
      <c r="I616" t="s">
        <v>2143</v>
      </c>
      <c r="J616" t="s">
        <v>2146</v>
      </c>
      <c r="K616" t="s">
        <v>2164</v>
      </c>
      <c r="L616" s="3">
        <v>1</v>
      </c>
      <c r="M616" s="2">
        <v>17142.3</v>
      </c>
      <c r="N616" s="5">
        <v>0.15</v>
      </c>
      <c r="O616" s="2">
        <v>14570.95</v>
      </c>
      <c r="P616" s="2">
        <v>1652.59</v>
      </c>
      <c r="Q616" t="s">
        <v>2170</v>
      </c>
    </row>
    <row r="617" spans="1:17">
      <c r="A617" t="s">
        <v>632</v>
      </c>
      <c r="B617" s="1">
        <v>45808</v>
      </c>
      <c r="C617" t="s">
        <v>1572</v>
      </c>
      <c r="D617" t="s">
        <v>1870</v>
      </c>
      <c r="E617" t="s">
        <v>2113</v>
      </c>
      <c r="F617" t="s">
        <v>2118</v>
      </c>
      <c r="G617" t="s">
        <v>2126</v>
      </c>
      <c r="H617" t="s">
        <v>2137</v>
      </c>
      <c r="I617" t="s">
        <v>2143</v>
      </c>
      <c r="J617" t="s">
        <v>2149</v>
      </c>
      <c r="K617" t="s">
        <v>2163</v>
      </c>
      <c r="L617" s="3">
        <v>5</v>
      </c>
      <c r="M617" s="2">
        <v>64676.800000000003</v>
      </c>
      <c r="N617" s="5">
        <v>0.2</v>
      </c>
      <c r="O617" s="2">
        <v>258707.20000000001</v>
      </c>
      <c r="P617" s="2">
        <v>18940.669999999998</v>
      </c>
      <c r="Q617" t="s">
        <v>2168</v>
      </c>
    </row>
    <row r="618" spans="1:17">
      <c r="A618" t="s">
        <v>633</v>
      </c>
      <c r="B618" s="1">
        <v>45808</v>
      </c>
      <c r="C618" t="s">
        <v>1672</v>
      </c>
      <c r="D618" t="s">
        <v>1970</v>
      </c>
      <c r="E618" t="s">
        <v>2115</v>
      </c>
      <c r="F618" t="s">
        <v>2116</v>
      </c>
      <c r="G618" t="s">
        <v>2127</v>
      </c>
      <c r="H618" t="s">
        <v>2138</v>
      </c>
      <c r="I618" t="s">
        <v>2142</v>
      </c>
      <c r="J618" t="s">
        <v>2145</v>
      </c>
      <c r="K618" t="s">
        <v>2153</v>
      </c>
      <c r="L618" s="3">
        <v>3</v>
      </c>
      <c r="M618" s="2">
        <v>11672.07</v>
      </c>
      <c r="N618" s="5">
        <v>0.2</v>
      </c>
      <c r="O618" s="2">
        <v>28012.97</v>
      </c>
      <c r="P618" s="2">
        <v>5609.74</v>
      </c>
      <c r="Q618" t="s">
        <v>2169</v>
      </c>
    </row>
    <row r="619" spans="1:17">
      <c r="A619" t="s">
        <v>634</v>
      </c>
      <c r="B619" s="1">
        <v>45809</v>
      </c>
      <c r="C619" t="s">
        <v>1588</v>
      </c>
      <c r="D619" t="s">
        <v>1886</v>
      </c>
      <c r="E619" t="s">
        <v>2115</v>
      </c>
      <c r="F619" t="s">
        <v>2118</v>
      </c>
      <c r="G619" t="s">
        <v>2122</v>
      </c>
      <c r="H619" t="s">
        <v>2133</v>
      </c>
      <c r="I619" t="s">
        <v>2143</v>
      </c>
      <c r="J619" t="s">
        <v>2146</v>
      </c>
      <c r="K619" t="s">
        <v>2164</v>
      </c>
      <c r="L619" s="3">
        <v>2</v>
      </c>
      <c r="M619" s="2">
        <v>17298.5</v>
      </c>
      <c r="N619" s="5">
        <v>0</v>
      </c>
      <c r="O619" s="2">
        <v>34597</v>
      </c>
      <c r="P619" s="2">
        <v>4625.32</v>
      </c>
      <c r="Q619" t="s">
        <v>2169</v>
      </c>
    </row>
    <row r="620" spans="1:17">
      <c r="A620" t="s">
        <v>635</v>
      </c>
      <c r="B620" s="1">
        <v>45809</v>
      </c>
      <c r="C620" t="s">
        <v>1745</v>
      </c>
      <c r="D620" t="s">
        <v>2043</v>
      </c>
      <c r="E620" t="s">
        <v>2114</v>
      </c>
      <c r="F620" t="s">
        <v>2118</v>
      </c>
      <c r="G620" t="s">
        <v>2128</v>
      </c>
      <c r="H620" t="s">
        <v>2128</v>
      </c>
      <c r="I620" t="s">
        <v>2144</v>
      </c>
      <c r="J620" t="s">
        <v>2147</v>
      </c>
      <c r="K620" t="s">
        <v>2155</v>
      </c>
      <c r="L620" s="3">
        <v>2</v>
      </c>
      <c r="M620" s="2">
        <v>752.41</v>
      </c>
      <c r="N620" s="5">
        <v>0.1</v>
      </c>
      <c r="O620" s="2">
        <v>1354.34</v>
      </c>
      <c r="P620" s="2">
        <v>294.11</v>
      </c>
      <c r="Q620" t="s">
        <v>2167</v>
      </c>
    </row>
    <row r="621" spans="1:17">
      <c r="A621" t="s">
        <v>636</v>
      </c>
      <c r="B621" s="1">
        <v>45809</v>
      </c>
      <c r="C621" t="s">
        <v>1539</v>
      </c>
      <c r="D621" t="s">
        <v>1837</v>
      </c>
      <c r="E621" t="s">
        <v>2114</v>
      </c>
      <c r="F621" t="s">
        <v>2118</v>
      </c>
      <c r="G621" t="s">
        <v>2126</v>
      </c>
      <c r="H621" t="s">
        <v>2137</v>
      </c>
      <c r="I621" t="s">
        <v>2144</v>
      </c>
      <c r="J621" t="s">
        <v>2150</v>
      </c>
      <c r="K621" t="s">
        <v>2159</v>
      </c>
      <c r="L621" s="3">
        <v>3</v>
      </c>
      <c r="M621" s="2">
        <v>444.16</v>
      </c>
      <c r="N621" s="5">
        <v>0.2</v>
      </c>
      <c r="O621" s="2">
        <v>1065.98</v>
      </c>
      <c r="P621" s="2">
        <v>196.46</v>
      </c>
      <c r="Q621" t="s">
        <v>2169</v>
      </c>
    </row>
    <row r="622" spans="1:17">
      <c r="A622" t="s">
        <v>637</v>
      </c>
      <c r="B622" s="1">
        <v>45809</v>
      </c>
      <c r="C622" t="s">
        <v>1561</v>
      </c>
      <c r="D622" t="s">
        <v>1859</v>
      </c>
      <c r="E622" t="s">
        <v>2115</v>
      </c>
      <c r="F622" t="s">
        <v>2117</v>
      </c>
      <c r="G622" t="s">
        <v>2123</v>
      </c>
      <c r="H622" t="s">
        <v>2134</v>
      </c>
      <c r="I622" t="s">
        <v>2142</v>
      </c>
      <c r="J622" t="s">
        <v>2145</v>
      </c>
      <c r="K622" t="s">
        <v>2165</v>
      </c>
      <c r="L622" s="3">
        <v>1</v>
      </c>
      <c r="M622" s="2">
        <v>6456.43</v>
      </c>
      <c r="N622" s="5">
        <v>0.1</v>
      </c>
      <c r="O622" s="2">
        <v>5810.79</v>
      </c>
      <c r="P622" s="2">
        <v>634.35</v>
      </c>
      <c r="Q622" t="s">
        <v>2170</v>
      </c>
    </row>
    <row r="623" spans="1:17">
      <c r="A623" t="s">
        <v>638</v>
      </c>
      <c r="B623" s="1">
        <v>45809</v>
      </c>
      <c r="C623" t="s">
        <v>1603</v>
      </c>
      <c r="D623" t="s">
        <v>1901</v>
      </c>
      <c r="E623" t="s">
        <v>2114</v>
      </c>
      <c r="F623" t="s">
        <v>2116</v>
      </c>
      <c r="G623" t="s">
        <v>2127</v>
      </c>
      <c r="H623" t="s">
        <v>2140</v>
      </c>
      <c r="I623" t="s">
        <v>2144</v>
      </c>
      <c r="J623" t="s">
        <v>2152</v>
      </c>
      <c r="K623" t="s">
        <v>2162</v>
      </c>
      <c r="L623" s="3">
        <v>4</v>
      </c>
      <c r="M623" s="2">
        <v>350.7</v>
      </c>
      <c r="N623" s="5">
        <v>0.1</v>
      </c>
      <c r="O623" s="2">
        <v>1262.52</v>
      </c>
      <c r="P623" s="2">
        <v>373.16</v>
      </c>
      <c r="Q623" t="s">
        <v>2170</v>
      </c>
    </row>
    <row r="624" spans="1:17">
      <c r="A624" t="s">
        <v>639</v>
      </c>
      <c r="B624" s="1">
        <v>45809</v>
      </c>
      <c r="C624" t="s">
        <v>1582</v>
      </c>
      <c r="D624" t="s">
        <v>1880</v>
      </c>
      <c r="E624" t="s">
        <v>2115</v>
      </c>
      <c r="F624" t="s">
        <v>2119</v>
      </c>
      <c r="G624" t="s">
        <v>2130</v>
      </c>
      <c r="H624" t="s">
        <v>2141</v>
      </c>
      <c r="I624" t="s">
        <v>2142</v>
      </c>
      <c r="J624" t="s">
        <v>2151</v>
      </c>
      <c r="K624" t="s">
        <v>2160</v>
      </c>
      <c r="L624" s="3">
        <v>2</v>
      </c>
      <c r="M624" s="2">
        <v>8141.95</v>
      </c>
      <c r="N624" s="5">
        <v>0.05</v>
      </c>
      <c r="O624" s="2">
        <v>15469.7</v>
      </c>
      <c r="P624" s="2">
        <v>3409.88</v>
      </c>
      <c r="Q624" t="s">
        <v>2170</v>
      </c>
    </row>
    <row r="625" spans="1:17">
      <c r="A625" t="s">
        <v>640</v>
      </c>
      <c r="B625" s="1">
        <v>45809</v>
      </c>
      <c r="C625" t="s">
        <v>1539</v>
      </c>
      <c r="D625" t="s">
        <v>1837</v>
      </c>
      <c r="E625" t="s">
        <v>2115</v>
      </c>
      <c r="F625" t="s">
        <v>2118</v>
      </c>
      <c r="G625" t="s">
        <v>2126</v>
      </c>
      <c r="H625" t="s">
        <v>2137</v>
      </c>
      <c r="I625" t="s">
        <v>2142</v>
      </c>
      <c r="J625" t="s">
        <v>2147</v>
      </c>
      <c r="K625" t="s">
        <v>2157</v>
      </c>
      <c r="L625" s="3">
        <v>1</v>
      </c>
      <c r="M625" s="2">
        <v>13965.98</v>
      </c>
      <c r="N625" s="5">
        <v>0</v>
      </c>
      <c r="O625" s="2">
        <v>13965.98</v>
      </c>
      <c r="P625" s="2">
        <v>3594.83</v>
      </c>
      <c r="Q625" t="s">
        <v>2169</v>
      </c>
    </row>
    <row r="626" spans="1:17">
      <c r="A626" t="s">
        <v>641</v>
      </c>
      <c r="B626" s="1">
        <v>45809</v>
      </c>
      <c r="C626" t="s">
        <v>1575</v>
      </c>
      <c r="D626" t="s">
        <v>1873</v>
      </c>
      <c r="E626" t="s">
        <v>2113</v>
      </c>
      <c r="F626" t="s">
        <v>2117</v>
      </c>
      <c r="G626" t="s">
        <v>2123</v>
      </c>
      <c r="H626" t="s">
        <v>2134</v>
      </c>
      <c r="I626" t="s">
        <v>2144</v>
      </c>
      <c r="J626" t="s">
        <v>2152</v>
      </c>
      <c r="K626" t="s">
        <v>2166</v>
      </c>
      <c r="L626" s="3">
        <v>1</v>
      </c>
      <c r="M626" s="2">
        <v>573.49</v>
      </c>
      <c r="N626" s="5">
        <v>0</v>
      </c>
      <c r="O626" s="2">
        <v>573.49</v>
      </c>
      <c r="P626" s="2">
        <v>185.37</v>
      </c>
      <c r="Q626" t="s">
        <v>2168</v>
      </c>
    </row>
    <row r="627" spans="1:17">
      <c r="A627" t="s">
        <v>642</v>
      </c>
      <c r="B627" s="1">
        <v>45809</v>
      </c>
      <c r="C627" t="s">
        <v>1548</v>
      </c>
      <c r="D627" t="s">
        <v>1846</v>
      </c>
      <c r="E627" t="s">
        <v>2114</v>
      </c>
      <c r="F627" t="s">
        <v>2118</v>
      </c>
      <c r="G627" t="s">
        <v>2128</v>
      </c>
      <c r="H627" t="s">
        <v>2128</v>
      </c>
      <c r="I627" t="s">
        <v>2143</v>
      </c>
      <c r="J627" t="s">
        <v>2146</v>
      </c>
      <c r="K627" t="s">
        <v>2164</v>
      </c>
      <c r="L627" s="3">
        <v>5</v>
      </c>
      <c r="M627" s="2">
        <v>18434.82</v>
      </c>
      <c r="N627" s="5">
        <v>0</v>
      </c>
      <c r="O627" s="2">
        <v>92174.1</v>
      </c>
      <c r="P627" s="2">
        <v>14428.46</v>
      </c>
      <c r="Q627" t="s">
        <v>2169</v>
      </c>
    </row>
    <row r="628" spans="1:17">
      <c r="A628" t="s">
        <v>643</v>
      </c>
      <c r="B628" s="1">
        <v>45809</v>
      </c>
      <c r="C628" t="s">
        <v>1641</v>
      </c>
      <c r="D628" t="s">
        <v>1939</v>
      </c>
      <c r="E628" t="s">
        <v>2113</v>
      </c>
      <c r="F628" t="s">
        <v>2119</v>
      </c>
      <c r="G628" t="s">
        <v>2129</v>
      </c>
      <c r="H628" t="s">
        <v>2139</v>
      </c>
      <c r="I628" t="s">
        <v>2142</v>
      </c>
      <c r="J628" t="s">
        <v>2147</v>
      </c>
      <c r="K628" t="s">
        <v>2157</v>
      </c>
      <c r="L628" s="3">
        <v>3</v>
      </c>
      <c r="M628" s="2">
        <v>14276.61</v>
      </c>
      <c r="N628" s="5">
        <v>0.05</v>
      </c>
      <c r="O628" s="2">
        <v>40688.339999999997</v>
      </c>
      <c r="P628" s="2">
        <v>6592.35</v>
      </c>
      <c r="Q628" t="s">
        <v>2169</v>
      </c>
    </row>
    <row r="629" spans="1:17">
      <c r="A629" t="s">
        <v>644</v>
      </c>
      <c r="B629" s="1">
        <v>45810</v>
      </c>
      <c r="C629" t="s">
        <v>1687</v>
      </c>
      <c r="D629" t="s">
        <v>1985</v>
      </c>
      <c r="E629" t="s">
        <v>2114</v>
      </c>
      <c r="F629" t="s">
        <v>2117</v>
      </c>
      <c r="G629" t="s">
        <v>2121</v>
      </c>
      <c r="H629" t="s">
        <v>2132</v>
      </c>
      <c r="I629" t="s">
        <v>2142</v>
      </c>
      <c r="J629" t="s">
        <v>2145</v>
      </c>
      <c r="K629" t="s">
        <v>2165</v>
      </c>
      <c r="L629" s="3">
        <v>1</v>
      </c>
      <c r="M629" s="2">
        <v>6361.71</v>
      </c>
      <c r="N629" s="5">
        <v>0.05</v>
      </c>
      <c r="O629" s="2">
        <v>6043.62</v>
      </c>
      <c r="P629" s="2">
        <v>963.89</v>
      </c>
      <c r="Q629" t="s">
        <v>2170</v>
      </c>
    </row>
    <row r="630" spans="1:17">
      <c r="A630" t="s">
        <v>645</v>
      </c>
      <c r="B630" s="1">
        <v>45810</v>
      </c>
      <c r="C630" t="s">
        <v>1711</v>
      </c>
      <c r="D630" t="s">
        <v>2009</v>
      </c>
      <c r="E630" t="s">
        <v>2113</v>
      </c>
      <c r="F630" t="s">
        <v>2116</v>
      </c>
      <c r="G630" t="s">
        <v>2127</v>
      </c>
      <c r="H630" t="s">
        <v>2140</v>
      </c>
      <c r="I630" t="s">
        <v>2144</v>
      </c>
      <c r="J630" t="s">
        <v>2152</v>
      </c>
      <c r="K630" t="s">
        <v>2166</v>
      </c>
      <c r="L630" s="3">
        <v>1</v>
      </c>
      <c r="M630" s="2">
        <v>628.04</v>
      </c>
      <c r="N630" s="5">
        <v>0.15</v>
      </c>
      <c r="O630" s="2">
        <v>533.83000000000004</v>
      </c>
      <c r="P630" s="2">
        <v>90.84</v>
      </c>
      <c r="Q630" t="s">
        <v>2167</v>
      </c>
    </row>
    <row r="631" spans="1:17">
      <c r="A631" t="s">
        <v>646</v>
      </c>
      <c r="B631" s="1">
        <v>45810</v>
      </c>
      <c r="C631" t="s">
        <v>1663</v>
      </c>
      <c r="D631" t="s">
        <v>1961</v>
      </c>
      <c r="E631" t="s">
        <v>2114</v>
      </c>
      <c r="F631" t="s">
        <v>2118</v>
      </c>
      <c r="G631" t="s">
        <v>2128</v>
      </c>
      <c r="H631" t="s">
        <v>2128</v>
      </c>
      <c r="I631" t="s">
        <v>2143</v>
      </c>
      <c r="J631" t="s">
        <v>2146</v>
      </c>
      <c r="K631" t="s">
        <v>2154</v>
      </c>
      <c r="L631" s="3">
        <v>2</v>
      </c>
      <c r="M631" s="2">
        <v>41610.94</v>
      </c>
      <c r="N631" s="5">
        <v>0.1</v>
      </c>
      <c r="O631" s="2">
        <v>74899.69</v>
      </c>
      <c r="P631" s="2">
        <v>9031.2900000000009</v>
      </c>
      <c r="Q631" t="s">
        <v>2167</v>
      </c>
    </row>
    <row r="632" spans="1:17">
      <c r="A632" t="s">
        <v>647</v>
      </c>
      <c r="B632" s="1">
        <v>45810</v>
      </c>
      <c r="C632" t="s">
        <v>1580</v>
      </c>
      <c r="D632" t="s">
        <v>1878</v>
      </c>
      <c r="E632" t="s">
        <v>2115</v>
      </c>
      <c r="F632" t="s">
        <v>2119</v>
      </c>
      <c r="G632" t="s">
        <v>2129</v>
      </c>
      <c r="H632" t="s">
        <v>2139</v>
      </c>
      <c r="I632" t="s">
        <v>2142</v>
      </c>
      <c r="J632" t="s">
        <v>2145</v>
      </c>
      <c r="K632" t="s">
        <v>2153</v>
      </c>
      <c r="L632" s="3">
        <v>1</v>
      </c>
      <c r="M632" s="2">
        <v>11512.78</v>
      </c>
      <c r="N632" s="5">
        <v>0.05</v>
      </c>
      <c r="O632" s="2">
        <v>10937.14</v>
      </c>
      <c r="P632" s="2">
        <v>2264.81</v>
      </c>
      <c r="Q632" t="s">
        <v>2169</v>
      </c>
    </row>
    <row r="633" spans="1:17">
      <c r="A633" t="s">
        <v>648</v>
      </c>
      <c r="B633" s="1">
        <v>45810</v>
      </c>
      <c r="C633" t="s">
        <v>1693</v>
      </c>
      <c r="D633" t="s">
        <v>1991</v>
      </c>
      <c r="E633" t="s">
        <v>2114</v>
      </c>
      <c r="F633" t="s">
        <v>2119</v>
      </c>
      <c r="G633" t="s">
        <v>2129</v>
      </c>
      <c r="H633" t="s">
        <v>2139</v>
      </c>
      <c r="I633" t="s">
        <v>2143</v>
      </c>
      <c r="J633" t="s">
        <v>2146</v>
      </c>
      <c r="K633" t="s">
        <v>2154</v>
      </c>
      <c r="L633" s="3">
        <v>3</v>
      </c>
      <c r="M633" s="2">
        <v>40817.9</v>
      </c>
      <c r="N633" s="5">
        <v>0.15</v>
      </c>
      <c r="O633" s="2">
        <v>104085.65</v>
      </c>
      <c r="P633" s="2">
        <v>14349.72</v>
      </c>
      <c r="Q633" t="s">
        <v>2170</v>
      </c>
    </row>
    <row r="634" spans="1:17">
      <c r="A634" t="s">
        <v>649</v>
      </c>
      <c r="B634" s="1">
        <v>45810</v>
      </c>
      <c r="C634" t="s">
        <v>1788</v>
      </c>
      <c r="D634" t="s">
        <v>2086</v>
      </c>
      <c r="E634" t="s">
        <v>2114</v>
      </c>
      <c r="F634" t="s">
        <v>2117</v>
      </c>
      <c r="G634" t="s">
        <v>2121</v>
      </c>
      <c r="H634" t="s">
        <v>2132</v>
      </c>
      <c r="I634" t="s">
        <v>2142</v>
      </c>
      <c r="J634" t="s">
        <v>2145</v>
      </c>
      <c r="K634" t="s">
        <v>2165</v>
      </c>
      <c r="L634" s="3">
        <v>3</v>
      </c>
      <c r="M634" s="2">
        <v>6580.67</v>
      </c>
      <c r="N634" s="5">
        <v>0.15</v>
      </c>
      <c r="O634" s="2">
        <v>16780.71</v>
      </c>
      <c r="P634" s="2">
        <v>2935.15</v>
      </c>
      <c r="Q634" t="s">
        <v>2167</v>
      </c>
    </row>
    <row r="635" spans="1:17">
      <c r="A635" t="s">
        <v>650</v>
      </c>
      <c r="B635" s="1">
        <v>45810</v>
      </c>
      <c r="C635" t="s">
        <v>1766</v>
      </c>
      <c r="D635" t="s">
        <v>2064</v>
      </c>
      <c r="E635" t="s">
        <v>2115</v>
      </c>
      <c r="F635" t="s">
        <v>2119</v>
      </c>
      <c r="G635" t="s">
        <v>2130</v>
      </c>
      <c r="H635" t="s">
        <v>2141</v>
      </c>
      <c r="I635" t="s">
        <v>2143</v>
      </c>
      <c r="J635" t="s">
        <v>2148</v>
      </c>
      <c r="K635" t="s">
        <v>2156</v>
      </c>
      <c r="L635" s="3">
        <v>1</v>
      </c>
      <c r="M635" s="2">
        <v>1213.17</v>
      </c>
      <c r="N635" s="5">
        <v>0.05</v>
      </c>
      <c r="O635" s="2">
        <v>1152.51</v>
      </c>
      <c r="P635" s="2">
        <v>120.64</v>
      </c>
      <c r="Q635" t="s">
        <v>2169</v>
      </c>
    </row>
    <row r="636" spans="1:17">
      <c r="A636" t="s">
        <v>651</v>
      </c>
      <c r="B636" s="1">
        <v>45810</v>
      </c>
      <c r="C636" t="s">
        <v>1555</v>
      </c>
      <c r="D636" t="s">
        <v>1853</v>
      </c>
      <c r="E636" t="s">
        <v>2114</v>
      </c>
      <c r="F636" t="s">
        <v>2118</v>
      </c>
      <c r="G636" t="s">
        <v>2128</v>
      </c>
      <c r="H636" t="s">
        <v>2128</v>
      </c>
      <c r="I636" t="s">
        <v>2143</v>
      </c>
      <c r="J636" t="s">
        <v>2149</v>
      </c>
      <c r="K636" t="s">
        <v>2158</v>
      </c>
      <c r="L636" s="3">
        <v>3</v>
      </c>
      <c r="M636" s="2">
        <v>48581.16</v>
      </c>
      <c r="N636" s="5">
        <v>0</v>
      </c>
      <c r="O636" s="2">
        <v>145743.48000000001</v>
      </c>
      <c r="P636" s="2">
        <v>30362.400000000001</v>
      </c>
      <c r="Q636" t="s">
        <v>2167</v>
      </c>
    </row>
    <row r="637" spans="1:17">
      <c r="A637" t="s">
        <v>652</v>
      </c>
      <c r="B637" s="1">
        <v>45810</v>
      </c>
      <c r="C637" t="s">
        <v>1644</v>
      </c>
      <c r="D637" t="s">
        <v>1942</v>
      </c>
      <c r="E637" t="s">
        <v>2114</v>
      </c>
      <c r="F637" t="s">
        <v>2119</v>
      </c>
      <c r="G637" t="s">
        <v>2129</v>
      </c>
      <c r="H637" t="s">
        <v>2139</v>
      </c>
      <c r="I637" t="s">
        <v>2142</v>
      </c>
      <c r="J637" t="s">
        <v>2145</v>
      </c>
      <c r="K637" t="s">
        <v>2153</v>
      </c>
      <c r="L637" s="3">
        <v>2</v>
      </c>
      <c r="M637" s="2">
        <v>11820.86</v>
      </c>
      <c r="N637" s="5">
        <v>0.1</v>
      </c>
      <c r="O637" s="2">
        <v>21277.55</v>
      </c>
      <c r="P637" s="2">
        <v>2964.1</v>
      </c>
      <c r="Q637" t="s">
        <v>2169</v>
      </c>
    </row>
    <row r="638" spans="1:17">
      <c r="A638" t="s">
        <v>653</v>
      </c>
      <c r="B638" s="1">
        <v>45811</v>
      </c>
      <c r="C638" t="s">
        <v>1690</v>
      </c>
      <c r="D638" t="s">
        <v>1988</v>
      </c>
      <c r="E638" t="s">
        <v>2113</v>
      </c>
      <c r="F638" t="s">
        <v>2117</v>
      </c>
      <c r="G638" t="s">
        <v>2121</v>
      </c>
      <c r="H638" t="s">
        <v>2132</v>
      </c>
      <c r="I638" t="s">
        <v>2143</v>
      </c>
      <c r="J638" t="s">
        <v>2149</v>
      </c>
      <c r="K638" t="s">
        <v>2163</v>
      </c>
      <c r="L638" s="3">
        <v>1</v>
      </c>
      <c r="M638" s="2">
        <v>63779.25</v>
      </c>
      <c r="N638" s="5">
        <v>0.05</v>
      </c>
      <c r="O638" s="2">
        <v>60590.29</v>
      </c>
      <c r="P638" s="2">
        <v>10092.030000000001</v>
      </c>
      <c r="Q638" t="s">
        <v>2168</v>
      </c>
    </row>
    <row r="639" spans="1:17">
      <c r="A639" t="s">
        <v>654</v>
      </c>
      <c r="B639" s="1">
        <v>45811</v>
      </c>
      <c r="C639" t="s">
        <v>1733</v>
      </c>
      <c r="D639" t="s">
        <v>2031</v>
      </c>
      <c r="E639" t="s">
        <v>2114</v>
      </c>
      <c r="F639" t="s">
        <v>2117</v>
      </c>
      <c r="G639" t="s">
        <v>2121</v>
      </c>
      <c r="H639" t="s">
        <v>2132</v>
      </c>
      <c r="I639" t="s">
        <v>2144</v>
      </c>
      <c r="J639" t="s">
        <v>2152</v>
      </c>
      <c r="K639" t="s">
        <v>2162</v>
      </c>
      <c r="L639" s="3">
        <v>4</v>
      </c>
      <c r="M639" s="2">
        <v>332.97</v>
      </c>
      <c r="N639" s="5">
        <v>0.1</v>
      </c>
      <c r="O639" s="2">
        <v>1198.69</v>
      </c>
      <c r="P639" s="2">
        <v>196.41</v>
      </c>
      <c r="Q639" t="s">
        <v>2167</v>
      </c>
    </row>
    <row r="640" spans="1:17">
      <c r="A640" t="s">
        <v>655</v>
      </c>
      <c r="B640" s="1">
        <v>45811</v>
      </c>
      <c r="C640" t="s">
        <v>1588</v>
      </c>
      <c r="D640" t="s">
        <v>1886</v>
      </c>
      <c r="E640" t="s">
        <v>2114</v>
      </c>
      <c r="F640" t="s">
        <v>2118</v>
      </c>
      <c r="G640" t="s">
        <v>2126</v>
      </c>
      <c r="H640" t="s">
        <v>2137</v>
      </c>
      <c r="I640" t="s">
        <v>2143</v>
      </c>
      <c r="J640" t="s">
        <v>2148</v>
      </c>
      <c r="K640" t="s">
        <v>2156</v>
      </c>
      <c r="L640" s="3">
        <v>1</v>
      </c>
      <c r="M640" s="2">
        <v>1151.19</v>
      </c>
      <c r="N640" s="5">
        <v>0.05</v>
      </c>
      <c r="O640" s="2">
        <v>1093.6300000000001</v>
      </c>
      <c r="P640" s="2">
        <v>87.53</v>
      </c>
      <c r="Q640" t="s">
        <v>2167</v>
      </c>
    </row>
    <row r="641" spans="1:17">
      <c r="A641" t="s">
        <v>656</v>
      </c>
      <c r="B641" s="1">
        <v>45812</v>
      </c>
      <c r="C641" t="s">
        <v>1520</v>
      </c>
      <c r="D641" t="s">
        <v>1818</v>
      </c>
      <c r="E641" t="s">
        <v>2114</v>
      </c>
      <c r="F641" t="s">
        <v>2116</v>
      </c>
      <c r="G641" t="s">
        <v>2127</v>
      </c>
      <c r="H641" t="s">
        <v>2140</v>
      </c>
      <c r="I641" t="s">
        <v>2143</v>
      </c>
      <c r="J641" t="s">
        <v>2149</v>
      </c>
      <c r="K641" t="s">
        <v>2158</v>
      </c>
      <c r="L641" s="3">
        <v>2</v>
      </c>
      <c r="M641" s="2">
        <v>45620.1</v>
      </c>
      <c r="N641" s="5">
        <v>0</v>
      </c>
      <c r="O641" s="2">
        <v>91240.2</v>
      </c>
      <c r="P641" s="2">
        <v>15863.09</v>
      </c>
      <c r="Q641" t="s">
        <v>2170</v>
      </c>
    </row>
    <row r="642" spans="1:17">
      <c r="A642" t="s">
        <v>657</v>
      </c>
      <c r="B642" s="1">
        <v>45812</v>
      </c>
      <c r="C642" t="s">
        <v>1691</v>
      </c>
      <c r="D642" t="s">
        <v>1989</v>
      </c>
      <c r="E642" t="s">
        <v>2113</v>
      </c>
      <c r="F642" t="s">
        <v>2116</v>
      </c>
      <c r="G642" t="s">
        <v>2127</v>
      </c>
      <c r="H642" t="s">
        <v>2138</v>
      </c>
      <c r="I642" t="s">
        <v>2144</v>
      </c>
      <c r="J642" t="s">
        <v>2152</v>
      </c>
      <c r="K642" t="s">
        <v>2162</v>
      </c>
      <c r="L642" s="3">
        <v>2</v>
      </c>
      <c r="M642" s="2">
        <v>362.23</v>
      </c>
      <c r="N642" s="5">
        <v>0.1</v>
      </c>
      <c r="O642" s="2">
        <v>652.01</v>
      </c>
      <c r="P642" s="2">
        <v>148.75</v>
      </c>
      <c r="Q642" t="s">
        <v>2167</v>
      </c>
    </row>
    <row r="643" spans="1:17">
      <c r="A643" t="s">
        <v>658</v>
      </c>
      <c r="B643" s="1">
        <v>45812</v>
      </c>
      <c r="C643" t="s">
        <v>1713</v>
      </c>
      <c r="D643" t="s">
        <v>2011</v>
      </c>
      <c r="E643" t="s">
        <v>2114</v>
      </c>
      <c r="F643" t="s">
        <v>2118</v>
      </c>
      <c r="G643" t="s">
        <v>2126</v>
      </c>
      <c r="H643" t="s">
        <v>2137</v>
      </c>
      <c r="I643" t="s">
        <v>2142</v>
      </c>
      <c r="J643" t="s">
        <v>2145</v>
      </c>
      <c r="K643" t="s">
        <v>2165</v>
      </c>
      <c r="L643" s="3">
        <v>2</v>
      </c>
      <c r="M643" s="2">
        <v>6455.62</v>
      </c>
      <c r="N643" s="5">
        <v>0</v>
      </c>
      <c r="O643" s="2">
        <v>12911.24</v>
      </c>
      <c r="P643" s="2">
        <v>2859.17</v>
      </c>
      <c r="Q643" t="s">
        <v>2168</v>
      </c>
    </row>
    <row r="644" spans="1:17">
      <c r="A644" t="s">
        <v>659</v>
      </c>
      <c r="B644" s="1">
        <v>45813</v>
      </c>
      <c r="C644" t="s">
        <v>1791</v>
      </c>
      <c r="D644" t="s">
        <v>2089</v>
      </c>
      <c r="E644" t="s">
        <v>2115</v>
      </c>
      <c r="F644" t="s">
        <v>2118</v>
      </c>
      <c r="G644" t="s">
        <v>2128</v>
      </c>
      <c r="H644" t="s">
        <v>2128</v>
      </c>
      <c r="I644" t="s">
        <v>2143</v>
      </c>
      <c r="J644" t="s">
        <v>2146</v>
      </c>
      <c r="K644" t="s">
        <v>2154</v>
      </c>
      <c r="L644" s="3">
        <v>2</v>
      </c>
      <c r="M644" s="2">
        <v>44024.05</v>
      </c>
      <c r="N644" s="5">
        <v>0.05</v>
      </c>
      <c r="O644" s="2">
        <v>83645.7</v>
      </c>
      <c r="P644" s="2">
        <v>14515.31</v>
      </c>
      <c r="Q644" t="s">
        <v>2170</v>
      </c>
    </row>
    <row r="645" spans="1:17">
      <c r="A645" t="s">
        <v>660</v>
      </c>
      <c r="B645" s="1">
        <v>45813</v>
      </c>
      <c r="C645" t="s">
        <v>1752</v>
      </c>
      <c r="D645" t="s">
        <v>2050</v>
      </c>
      <c r="E645" t="s">
        <v>2114</v>
      </c>
      <c r="F645" t="s">
        <v>2119</v>
      </c>
      <c r="G645" t="s">
        <v>2124</v>
      </c>
      <c r="H645" t="s">
        <v>2135</v>
      </c>
      <c r="I645" t="s">
        <v>2144</v>
      </c>
      <c r="J645" t="s">
        <v>2150</v>
      </c>
      <c r="K645" t="s">
        <v>2159</v>
      </c>
      <c r="L645" s="3">
        <v>1</v>
      </c>
      <c r="M645" s="2">
        <v>442.15</v>
      </c>
      <c r="N645" s="5">
        <v>0</v>
      </c>
      <c r="O645" s="2">
        <v>442.15</v>
      </c>
      <c r="P645" s="2">
        <v>79.03</v>
      </c>
      <c r="Q645" t="s">
        <v>2168</v>
      </c>
    </row>
    <row r="646" spans="1:17">
      <c r="A646" t="s">
        <v>661</v>
      </c>
      <c r="B646" s="1">
        <v>45813</v>
      </c>
      <c r="C646" t="s">
        <v>1694</v>
      </c>
      <c r="D646" t="s">
        <v>1992</v>
      </c>
      <c r="E646" t="s">
        <v>2115</v>
      </c>
      <c r="F646" t="s">
        <v>2119</v>
      </c>
      <c r="G646" t="s">
        <v>2124</v>
      </c>
      <c r="H646" t="s">
        <v>2135</v>
      </c>
      <c r="I646" t="s">
        <v>2143</v>
      </c>
      <c r="J646" t="s">
        <v>2148</v>
      </c>
      <c r="K646" t="s">
        <v>2161</v>
      </c>
      <c r="L646" s="3">
        <v>1</v>
      </c>
      <c r="M646" s="2">
        <v>1881.07</v>
      </c>
      <c r="N646" s="5">
        <v>0.05</v>
      </c>
      <c r="O646" s="2">
        <v>1787.02</v>
      </c>
      <c r="P646" s="2">
        <v>346.58</v>
      </c>
      <c r="Q646" t="s">
        <v>2167</v>
      </c>
    </row>
    <row r="647" spans="1:17">
      <c r="A647" t="s">
        <v>662</v>
      </c>
      <c r="B647" s="1">
        <v>45813</v>
      </c>
      <c r="C647" t="s">
        <v>1755</v>
      </c>
      <c r="D647" t="s">
        <v>2053</v>
      </c>
      <c r="E647" t="s">
        <v>2114</v>
      </c>
      <c r="F647" t="s">
        <v>2118</v>
      </c>
      <c r="G647" t="s">
        <v>2126</v>
      </c>
      <c r="H647" t="s">
        <v>2137</v>
      </c>
      <c r="I647" t="s">
        <v>2144</v>
      </c>
      <c r="J647" t="s">
        <v>2147</v>
      </c>
      <c r="K647" t="s">
        <v>2155</v>
      </c>
      <c r="L647" s="3">
        <v>2</v>
      </c>
      <c r="M647" s="2">
        <v>762.88</v>
      </c>
      <c r="N647" s="5">
        <v>0.2</v>
      </c>
      <c r="O647" s="2">
        <v>1220.6099999999999</v>
      </c>
      <c r="P647" s="2">
        <v>148.81</v>
      </c>
      <c r="Q647" t="s">
        <v>2169</v>
      </c>
    </row>
    <row r="648" spans="1:17">
      <c r="A648" t="s">
        <v>663</v>
      </c>
      <c r="B648" s="1">
        <v>45813</v>
      </c>
      <c r="C648" t="s">
        <v>1715</v>
      </c>
      <c r="D648" t="s">
        <v>2013</v>
      </c>
      <c r="E648" t="s">
        <v>2115</v>
      </c>
      <c r="F648" t="s">
        <v>2118</v>
      </c>
      <c r="G648" t="s">
        <v>2128</v>
      </c>
      <c r="H648" t="s">
        <v>2128</v>
      </c>
      <c r="I648" t="s">
        <v>2143</v>
      </c>
      <c r="J648" t="s">
        <v>2149</v>
      </c>
      <c r="K648" t="s">
        <v>2163</v>
      </c>
      <c r="L648" s="3">
        <v>1</v>
      </c>
      <c r="M648" s="2">
        <v>64347.65</v>
      </c>
      <c r="N648" s="5">
        <v>0.15</v>
      </c>
      <c r="O648" s="2">
        <v>54695.5</v>
      </c>
      <c r="P648" s="2">
        <v>3445.05</v>
      </c>
      <c r="Q648" t="s">
        <v>2170</v>
      </c>
    </row>
    <row r="649" spans="1:17">
      <c r="A649" t="s">
        <v>664</v>
      </c>
      <c r="B649" s="1">
        <v>45813</v>
      </c>
      <c r="C649" t="s">
        <v>1565</v>
      </c>
      <c r="D649" t="s">
        <v>1863</v>
      </c>
      <c r="E649" t="s">
        <v>2113</v>
      </c>
      <c r="F649" t="s">
        <v>2117</v>
      </c>
      <c r="G649" t="s">
        <v>2123</v>
      </c>
      <c r="H649" t="s">
        <v>2134</v>
      </c>
      <c r="I649" t="s">
        <v>2144</v>
      </c>
      <c r="J649" t="s">
        <v>2152</v>
      </c>
      <c r="K649" t="s">
        <v>2166</v>
      </c>
      <c r="L649" s="3">
        <v>3</v>
      </c>
      <c r="M649" s="2">
        <v>570.73</v>
      </c>
      <c r="N649" s="5">
        <v>0.05</v>
      </c>
      <c r="O649" s="2">
        <v>1626.58</v>
      </c>
      <c r="P649" s="2">
        <v>231.54</v>
      </c>
      <c r="Q649" t="s">
        <v>2169</v>
      </c>
    </row>
    <row r="650" spans="1:17">
      <c r="A650" t="s">
        <v>665</v>
      </c>
      <c r="B650" s="1">
        <v>45813</v>
      </c>
      <c r="C650" t="s">
        <v>1718</v>
      </c>
      <c r="D650" t="s">
        <v>2016</v>
      </c>
      <c r="E650" t="s">
        <v>2114</v>
      </c>
      <c r="F650" t="s">
        <v>2118</v>
      </c>
      <c r="G650" t="s">
        <v>2126</v>
      </c>
      <c r="H650" t="s">
        <v>2137</v>
      </c>
      <c r="I650" t="s">
        <v>2144</v>
      </c>
      <c r="J650" t="s">
        <v>2152</v>
      </c>
      <c r="K650" t="s">
        <v>2162</v>
      </c>
      <c r="L650" s="3">
        <v>5</v>
      </c>
      <c r="M650" s="2">
        <v>346.04</v>
      </c>
      <c r="N650" s="5">
        <v>0.05</v>
      </c>
      <c r="O650" s="2">
        <v>1643.69</v>
      </c>
      <c r="P650" s="2">
        <v>399.97</v>
      </c>
      <c r="Q650" t="s">
        <v>2170</v>
      </c>
    </row>
    <row r="651" spans="1:17">
      <c r="A651" t="s">
        <v>666</v>
      </c>
      <c r="B651" s="1">
        <v>45814</v>
      </c>
      <c r="C651" t="s">
        <v>1792</v>
      </c>
      <c r="D651" t="s">
        <v>2090</v>
      </c>
      <c r="E651" t="s">
        <v>2113</v>
      </c>
      <c r="F651" t="s">
        <v>2119</v>
      </c>
      <c r="G651" t="s">
        <v>2129</v>
      </c>
      <c r="H651" t="s">
        <v>2139</v>
      </c>
      <c r="I651" t="s">
        <v>2144</v>
      </c>
      <c r="J651" t="s">
        <v>2152</v>
      </c>
      <c r="K651" t="s">
        <v>2166</v>
      </c>
      <c r="L651" s="3">
        <v>3</v>
      </c>
      <c r="M651" s="2">
        <v>593.88</v>
      </c>
      <c r="N651" s="5">
        <v>0.05</v>
      </c>
      <c r="O651" s="2">
        <v>1692.56</v>
      </c>
      <c r="P651" s="2">
        <v>346.57</v>
      </c>
      <c r="Q651" t="s">
        <v>2169</v>
      </c>
    </row>
    <row r="652" spans="1:17">
      <c r="A652" t="s">
        <v>667</v>
      </c>
      <c r="B652" s="1">
        <v>45814</v>
      </c>
      <c r="C652" t="s">
        <v>1680</v>
      </c>
      <c r="D652" t="s">
        <v>1978</v>
      </c>
      <c r="E652" t="s">
        <v>2114</v>
      </c>
      <c r="F652" t="s">
        <v>2119</v>
      </c>
      <c r="G652" t="s">
        <v>2129</v>
      </c>
      <c r="H652" t="s">
        <v>2139</v>
      </c>
      <c r="I652" t="s">
        <v>2143</v>
      </c>
      <c r="J652" t="s">
        <v>2148</v>
      </c>
      <c r="K652" t="s">
        <v>2161</v>
      </c>
      <c r="L652" s="3">
        <v>2</v>
      </c>
      <c r="M652" s="2">
        <v>1818.71</v>
      </c>
      <c r="N652" s="5">
        <v>0.05</v>
      </c>
      <c r="O652" s="2">
        <v>3455.55</v>
      </c>
      <c r="P652" s="2">
        <v>478.84</v>
      </c>
      <c r="Q652" t="s">
        <v>2168</v>
      </c>
    </row>
    <row r="653" spans="1:17">
      <c r="A653" t="s">
        <v>668</v>
      </c>
      <c r="B653" s="1">
        <v>45814</v>
      </c>
      <c r="C653" t="s">
        <v>1750</v>
      </c>
      <c r="D653" t="s">
        <v>2048</v>
      </c>
      <c r="E653" t="s">
        <v>2113</v>
      </c>
      <c r="F653" t="s">
        <v>2116</v>
      </c>
      <c r="G653" t="s">
        <v>2120</v>
      </c>
      <c r="H653" t="s">
        <v>2131</v>
      </c>
      <c r="I653" t="s">
        <v>2142</v>
      </c>
      <c r="J653" t="s">
        <v>2145</v>
      </c>
      <c r="K653" t="s">
        <v>2153</v>
      </c>
      <c r="L653" s="3">
        <v>5</v>
      </c>
      <c r="M653" s="2">
        <v>11542.39</v>
      </c>
      <c r="N653" s="5">
        <v>0.05</v>
      </c>
      <c r="O653" s="2">
        <v>54826.35</v>
      </c>
      <c r="P653" s="2">
        <v>10687.44</v>
      </c>
      <c r="Q653" t="s">
        <v>2169</v>
      </c>
    </row>
    <row r="654" spans="1:17">
      <c r="A654" t="s">
        <v>669</v>
      </c>
      <c r="B654" s="1">
        <v>45815</v>
      </c>
      <c r="C654" t="s">
        <v>1793</v>
      </c>
      <c r="D654" t="s">
        <v>2091</v>
      </c>
      <c r="E654" t="s">
        <v>2113</v>
      </c>
      <c r="F654" t="s">
        <v>2118</v>
      </c>
      <c r="G654" t="s">
        <v>2126</v>
      </c>
      <c r="H654" t="s">
        <v>2137</v>
      </c>
      <c r="I654" t="s">
        <v>2142</v>
      </c>
      <c r="J654" t="s">
        <v>2145</v>
      </c>
      <c r="K654" t="s">
        <v>2165</v>
      </c>
      <c r="L654" s="3">
        <v>4</v>
      </c>
      <c r="M654" s="2">
        <v>6226.33</v>
      </c>
      <c r="N654" s="5">
        <v>0</v>
      </c>
      <c r="O654" s="2">
        <v>24905.32</v>
      </c>
      <c r="P654" s="2">
        <v>3943.05</v>
      </c>
      <c r="Q654" t="s">
        <v>2170</v>
      </c>
    </row>
    <row r="655" spans="1:17">
      <c r="A655" t="s">
        <v>670</v>
      </c>
      <c r="B655" s="1">
        <v>45815</v>
      </c>
      <c r="C655" t="s">
        <v>1603</v>
      </c>
      <c r="D655" t="s">
        <v>1901</v>
      </c>
      <c r="E655" t="s">
        <v>2113</v>
      </c>
      <c r="F655" t="s">
        <v>2117</v>
      </c>
      <c r="G655" t="s">
        <v>2125</v>
      </c>
      <c r="H655" t="s">
        <v>2136</v>
      </c>
      <c r="I655" t="s">
        <v>2143</v>
      </c>
      <c r="J655" t="s">
        <v>2149</v>
      </c>
      <c r="K655" t="s">
        <v>2163</v>
      </c>
      <c r="L655" s="3">
        <v>4</v>
      </c>
      <c r="M655" s="2">
        <v>63008.62</v>
      </c>
      <c r="N655" s="5">
        <v>0.05</v>
      </c>
      <c r="O655" s="2">
        <v>239432.76</v>
      </c>
      <c r="P655" s="2">
        <v>22415.46</v>
      </c>
      <c r="Q655" t="s">
        <v>2168</v>
      </c>
    </row>
    <row r="656" spans="1:17">
      <c r="A656" t="s">
        <v>671</v>
      </c>
      <c r="B656" s="1">
        <v>45815</v>
      </c>
      <c r="C656" t="s">
        <v>1794</v>
      </c>
      <c r="D656" t="s">
        <v>2092</v>
      </c>
      <c r="E656" t="s">
        <v>2114</v>
      </c>
      <c r="F656" t="s">
        <v>2119</v>
      </c>
      <c r="G656" t="s">
        <v>2129</v>
      </c>
      <c r="H656" t="s">
        <v>2139</v>
      </c>
      <c r="I656" t="s">
        <v>2144</v>
      </c>
      <c r="J656" t="s">
        <v>2150</v>
      </c>
      <c r="K656" t="s">
        <v>2159</v>
      </c>
      <c r="L656" s="3">
        <v>1</v>
      </c>
      <c r="M656" s="2">
        <v>461.16</v>
      </c>
      <c r="N656" s="5">
        <v>0.05</v>
      </c>
      <c r="O656" s="2">
        <v>438.1</v>
      </c>
      <c r="P656" s="2">
        <v>107.48</v>
      </c>
      <c r="Q656" t="s">
        <v>2169</v>
      </c>
    </row>
    <row r="657" spans="1:17">
      <c r="A657" t="s">
        <v>672</v>
      </c>
      <c r="B657" s="1">
        <v>45816</v>
      </c>
      <c r="C657" t="s">
        <v>1651</v>
      </c>
      <c r="D657" t="s">
        <v>1949</v>
      </c>
      <c r="E657" t="s">
        <v>2115</v>
      </c>
      <c r="F657" t="s">
        <v>2116</v>
      </c>
      <c r="G657" t="s">
        <v>2127</v>
      </c>
      <c r="H657" t="s">
        <v>2140</v>
      </c>
      <c r="I657" t="s">
        <v>2142</v>
      </c>
      <c r="J657" t="s">
        <v>2145</v>
      </c>
      <c r="K657" t="s">
        <v>2153</v>
      </c>
      <c r="L657" s="3">
        <v>2</v>
      </c>
      <c r="M657" s="2">
        <v>12593.7</v>
      </c>
      <c r="N657" s="5">
        <v>0.05</v>
      </c>
      <c r="O657" s="2">
        <v>23928.03</v>
      </c>
      <c r="P657" s="2">
        <v>4797.25</v>
      </c>
      <c r="Q657" t="s">
        <v>2169</v>
      </c>
    </row>
    <row r="658" spans="1:17">
      <c r="A658" t="s">
        <v>673</v>
      </c>
      <c r="B658" s="1">
        <v>45817</v>
      </c>
      <c r="C658" t="s">
        <v>1743</v>
      </c>
      <c r="D658" t="s">
        <v>2041</v>
      </c>
      <c r="E658" t="s">
        <v>2114</v>
      </c>
      <c r="F658" t="s">
        <v>2117</v>
      </c>
      <c r="G658" t="s">
        <v>2123</v>
      </c>
      <c r="H658" t="s">
        <v>2134</v>
      </c>
      <c r="I658" t="s">
        <v>2143</v>
      </c>
      <c r="J658" t="s">
        <v>2148</v>
      </c>
      <c r="K658" t="s">
        <v>2161</v>
      </c>
      <c r="L658" s="3">
        <v>4</v>
      </c>
      <c r="M658" s="2">
        <v>1748.17</v>
      </c>
      <c r="N658" s="5">
        <v>0</v>
      </c>
      <c r="O658" s="2">
        <v>6992.68</v>
      </c>
      <c r="P658" s="2">
        <v>588.34</v>
      </c>
      <c r="Q658" t="s">
        <v>2167</v>
      </c>
    </row>
    <row r="659" spans="1:17">
      <c r="A659" t="s">
        <v>674</v>
      </c>
      <c r="B659" s="1">
        <v>45817</v>
      </c>
      <c r="C659" t="s">
        <v>1766</v>
      </c>
      <c r="D659" t="s">
        <v>2064</v>
      </c>
      <c r="E659" t="s">
        <v>2113</v>
      </c>
      <c r="F659" t="s">
        <v>2118</v>
      </c>
      <c r="G659" t="s">
        <v>2128</v>
      </c>
      <c r="H659" t="s">
        <v>2128</v>
      </c>
      <c r="I659" t="s">
        <v>2144</v>
      </c>
      <c r="J659" t="s">
        <v>2150</v>
      </c>
      <c r="K659" t="s">
        <v>2159</v>
      </c>
      <c r="L659" s="3">
        <v>1</v>
      </c>
      <c r="M659" s="2">
        <v>470.76</v>
      </c>
      <c r="N659" s="5">
        <v>0.15</v>
      </c>
      <c r="O659" s="2">
        <v>400.15</v>
      </c>
      <c r="P659" s="2">
        <v>78.08</v>
      </c>
      <c r="Q659" t="s">
        <v>2168</v>
      </c>
    </row>
    <row r="660" spans="1:17">
      <c r="A660" t="s">
        <v>675</v>
      </c>
      <c r="B660" s="1">
        <v>45817</v>
      </c>
      <c r="C660" t="s">
        <v>1611</v>
      </c>
      <c r="D660" t="s">
        <v>1909</v>
      </c>
      <c r="E660" t="s">
        <v>2113</v>
      </c>
      <c r="F660" t="s">
        <v>2119</v>
      </c>
      <c r="G660" t="s">
        <v>2124</v>
      </c>
      <c r="H660" t="s">
        <v>2135</v>
      </c>
      <c r="I660" t="s">
        <v>2143</v>
      </c>
      <c r="J660" t="s">
        <v>2146</v>
      </c>
      <c r="K660" t="s">
        <v>2154</v>
      </c>
      <c r="L660" s="3">
        <v>2</v>
      </c>
      <c r="M660" s="2">
        <v>40865.269999999997</v>
      </c>
      <c r="N660" s="5">
        <v>0.1</v>
      </c>
      <c r="O660" s="2">
        <v>73557.490000000005</v>
      </c>
      <c r="P660" s="2">
        <v>10155.959999999999</v>
      </c>
      <c r="Q660" t="s">
        <v>2168</v>
      </c>
    </row>
    <row r="661" spans="1:17">
      <c r="A661" t="s">
        <v>676</v>
      </c>
      <c r="B661" s="1">
        <v>45817</v>
      </c>
      <c r="C661" t="s">
        <v>1699</v>
      </c>
      <c r="D661" t="s">
        <v>1997</v>
      </c>
      <c r="E661" t="s">
        <v>2115</v>
      </c>
      <c r="F661" t="s">
        <v>2118</v>
      </c>
      <c r="G661" t="s">
        <v>2122</v>
      </c>
      <c r="H661" t="s">
        <v>2133</v>
      </c>
      <c r="I661" t="s">
        <v>2144</v>
      </c>
      <c r="J661" t="s">
        <v>2150</v>
      </c>
      <c r="K661" t="s">
        <v>2159</v>
      </c>
      <c r="L661" s="3">
        <v>3</v>
      </c>
      <c r="M661" s="2">
        <v>430.68</v>
      </c>
      <c r="N661" s="5">
        <v>0</v>
      </c>
      <c r="O661" s="2">
        <v>1292.04</v>
      </c>
      <c r="P661" s="2">
        <v>359.81</v>
      </c>
      <c r="Q661" t="s">
        <v>2168</v>
      </c>
    </row>
    <row r="662" spans="1:17">
      <c r="A662" t="s">
        <v>677</v>
      </c>
      <c r="B662" s="1">
        <v>45817</v>
      </c>
      <c r="C662" t="s">
        <v>1754</v>
      </c>
      <c r="D662" t="s">
        <v>2052</v>
      </c>
      <c r="E662" t="s">
        <v>2114</v>
      </c>
      <c r="F662" t="s">
        <v>2118</v>
      </c>
      <c r="G662" t="s">
        <v>2122</v>
      </c>
      <c r="H662" t="s">
        <v>2133</v>
      </c>
      <c r="I662" t="s">
        <v>2143</v>
      </c>
      <c r="J662" t="s">
        <v>2146</v>
      </c>
      <c r="K662" t="s">
        <v>2164</v>
      </c>
      <c r="L662" s="3">
        <v>2</v>
      </c>
      <c r="M662" s="2">
        <v>18102.080000000002</v>
      </c>
      <c r="N662" s="5">
        <v>0.1</v>
      </c>
      <c r="O662" s="2">
        <v>32583.74</v>
      </c>
      <c r="P662" s="2">
        <v>5375.38</v>
      </c>
      <c r="Q662" t="s">
        <v>2170</v>
      </c>
    </row>
    <row r="663" spans="1:17">
      <c r="A663" t="s">
        <v>678</v>
      </c>
      <c r="B663" s="1">
        <v>45818</v>
      </c>
      <c r="C663" t="s">
        <v>1574</v>
      </c>
      <c r="D663" t="s">
        <v>1872</v>
      </c>
      <c r="E663" t="s">
        <v>2113</v>
      </c>
      <c r="F663" t="s">
        <v>2117</v>
      </c>
      <c r="G663" t="s">
        <v>2123</v>
      </c>
      <c r="H663" t="s">
        <v>2134</v>
      </c>
      <c r="I663" t="s">
        <v>2143</v>
      </c>
      <c r="J663" t="s">
        <v>2149</v>
      </c>
      <c r="K663" t="s">
        <v>2158</v>
      </c>
      <c r="L663" s="3">
        <v>1</v>
      </c>
      <c r="M663" s="2">
        <v>47826.879999999997</v>
      </c>
      <c r="N663" s="5">
        <v>0.1</v>
      </c>
      <c r="O663" s="2">
        <v>43044.19</v>
      </c>
      <c r="P663" s="2">
        <v>8215.74</v>
      </c>
      <c r="Q663" t="s">
        <v>2169</v>
      </c>
    </row>
    <row r="664" spans="1:17">
      <c r="A664" t="s">
        <v>679</v>
      </c>
      <c r="B664" s="1">
        <v>45818</v>
      </c>
      <c r="C664" t="s">
        <v>1784</v>
      </c>
      <c r="D664" t="s">
        <v>2082</v>
      </c>
      <c r="E664" t="s">
        <v>2114</v>
      </c>
      <c r="F664" t="s">
        <v>2116</v>
      </c>
      <c r="G664" t="s">
        <v>2127</v>
      </c>
      <c r="H664" t="s">
        <v>2138</v>
      </c>
      <c r="I664" t="s">
        <v>2143</v>
      </c>
      <c r="J664" t="s">
        <v>2148</v>
      </c>
      <c r="K664" t="s">
        <v>2161</v>
      </c>
      <c r="L664" s="3">
        <v>1</v>
      </c>
      <c r="M664" s="2">
        <v>1878.2</v>
      </c>
      <c r="N664" s="5">
        <v>0.1</v>
      </c>
      <c r="O664" s="2">
        <v>1690.38</v>
      </c>
      <c r="P664" s="2">
        <v>136.13999999999999</v>
      </c>
      <c r="Q664" t="s">
        <v>2170</v>
      </c>
    </row>
    <row r="665" spans="1:17">
      <c r="A665" t="s">
        <v>680</v>
      </c>
      <c r="B665" s="1">
        <v>45818</v>
      </c>
      <c r="C665" t="s">
        <v>1658</v>
      </c>
      <c r="D665" t="s">
        <v>1956</v>
      </c>
      <c r="E665" t="s">
        <v>2113</v>
      </c>
      <c r="F665" t="s">
        <v>2117</v>
      </c>
      <c r="G665" t="s">
        <v>2123</v>
      </c>
      <c r="H665" t="s">
        <v>2134</v>
      </c>
      <c r="I665" t="s">
        <v>2142</v>
      </c>
      <c r="J665" t="s">
        <v>2147</v>
      </c>
      <c r="K665" t="s">
        <v>2157</v>
      </c>
      <c r="L665" s="3">
        <v>2</v>
      </c>
      <c r="M665" s="2">
        <v>14301.16</v>
      </c>
      <c r="N665" s="5">
        <v>0</v>
      </c>
      <c r="O665" s="2">
        <v>28602.32</v>
      </c>
      <c r="P665" s="2">
        <v>6183.09</v>
      </c>
      <c r="Q665" t="s">
        <v>2168</v>
      </c>
    </row>
    <row r="666" spans="1:17">
      <c r="A666" t="s">
        <v>681</v>
      </c>
      <c r="B666" s="1">
        <v>45818</v>
      </c>
      <c r="C666" t="s">
        <v>1631</v>
      </c>
      <c r="D666" t="s">
        <v>1929</v>
      </c>
      <c r="E666" t="s">
        <v>2115</v>
      </c>
      <c r="F666" t="s">
        <v>2117</v>
      </c>
      <c r="G666" t="s">
        <v>2121</v>
      </c>
      <c r="H666" t="s">
        <v>2132</v>
      </c>
      <c r="I666" t="s">
        <v>2144</v>
      </c>
      <c r="J666" t="s">
        <v>2152</v>
      </c>
      <c r="K666" t="s">
        <v>2166</v>
      </c>
      <c r="L666" s="3">
        <v>1</v>
      </c>
      <c r="M666" s="2">
        <v>597.47</v>
      </c>
      <c r="N666" s="5">
        <v>0.15</v>
      </c>
      <c r="O666" s="2">
        <v>507.85</v>
      </c>
      <c r="P666" s="2">
        <v>78.13</v>
      </c>
      <c r="Q666" t="s">
        <v>2167</v>
      </c>
    </row>
    <row r="667" spans="1:17">
      <c r="A667" t="s">
        <v>682</v>
      </c>
      <c r="B667" s="1">
        <v>45818</v>
      </c>
      <c r="C667" t="s">
        <v>1584</v>
      </c>
      <c r="D667" t="s">
        <v>1882</v>
      </c>
      <c r="E667" t="s">
        <v>2114</v>
      </c>
      <c r="F667" t="s">
        <v>2117</v>
      </c>
      <c r="G667" t="s">
        <v>2125</v>
      </c>
      <c r="H667" t="s">
        <v>2136</v>
      </c>
      <c r="I667" t="s">
        <v>2143</v>
      </c>
      <c r="J667" t="s">
        <v>2148</v>
      </c>
      <c r="K667" t="s">
        <v>2161</v>
      </c>
      <c r="L667" s="3">
        <v>1</v>
      </c>
      <c r="M667" s="2">
        <v>1804.55</v>
      </c>
      <c r="N667" s="5">
        <v>0.05</v>
      </c>
      <c r="O667" s="2">
        <v>1714.32</v>
      </c>
      <c r="P667" s="2">
        <v>136.66</v>
      </c>
      <c r="Q667" t="s">
        <v>2167</v>
      </c>
    </row>
    <row r="668" spans="1:17">
      <c r="A668" t="s">
        <v>683</v>
      </c>
      <c r="B668" s="1">
        <v>45818</v>
      </c>
      <c r="C668" t="s">
        <v>1745</v>
      </c>
      <c r="D668" t="s">
        <v>2043</v>
      </c>
      <c r="E668" t="s">
        <v>2114</v>
      </c>
      <c r="F668" t="s">
        <v>2119</v>
      </c>
      <c r="G668" t="s">
        <v>2129</v>
      </c>
      <c r="H668" t="s">
        <v>2139</v>
      </c>
      <c r="I668" t="s">
        <v>2144</v>
      </c>
      <c r="J668" t="s">
        <v>2147</v>
      </c>
      <c r="K668" t="s">
        <v>2155</v>
      </c>
      <c r="L668" s="3">
        <v>2</v>
      </c>
      <c r="M668" s="2">
        <v>764.02</v>
      </c>
      <c r="N668" s="5">
        <v>0.1</v>
      </c>
      <c r="O668" s="2">
        <v>1375.24</v>
      </c>
      <c r="P668" s="2">
        <v>395.38</v>
      </c>
      <c r="Q668" t="s">
        <v>2167</v>
      </c>
    </row>
    <row r="669" spans="1:17">
      <c r="A669" t="s">
        <v>684</v>
      </c>
      <c r="B669" s="1">
        <v>45818</v>
      </c>
      <c r="C669" t="s">
        <v>1557</v>
      </c>
      <c r="D669" t="s">
        <v>1855</v>
      </c>
      <c r="E669" t="s">
        <v>2114</v>
      </c>
      <c r="F669" t="s">
        <v>2119</v>
      </c>
      <c r="G669" t="s">
        <v>2124</v>
      </c>
      <c r="H669" t="s">
        <v>2135</v>
      </c>
      <c r="I669" t="s">
        <v>2143</v>
      </c>
      <c r="J669" t="s">
        <v>2148</v>
      </c>
      <c r="K669" t="s">
        <v>2156</v>
      </c>
      <c r="L669" s="3">
        <v>2</v>
      </c>
      <c r="M669" s="2">
        <v>1205.52</v>
      </c>
      <c r="N669" s="5">
        <v>0.15</v>
      </c>
      <c r="O669" s="2">
        <v>2049.38</v>
      </c>
      <c r="P669" s="2">
        <v>286.06</v>
      </c>
      <c r="Q669" t="s">
        <v>2169</v>
      </c>
    </row>
    <row r="670" spans="1:17">
      <c r="A670" t="s">
        <v>685</v>
      </c>
      <c r="B670" s="1">
        <v>45818</v>
      </c>
      <c r="C670" t="s">
        <v>1573</v>
      </c>
      <c r="D670" t="s">
        <v>1871</v>
      </c>
      <c r="E670" t="s">
        <v>2113</v>
      </c>
      <c r="F670" t="s">
        <v>2116</v>
      </c>
      <c r="G670" t="s">
        <v>2127</v>
      </c>
      <c r="H670" t="s">
        <v>2138</v>
      </c>
      <c r="I670" t="s">
        <v>2144</v>
      </c>
      <c r="J670" t="s">
        <v>2152</v>
      </c>
      <c r="K670" t="s">
        <v>2166</v>
      </c>
      <c r="L670" s="3">
        <v>1</v>
      </c>
      <c r="M670" s="2">
        <v>616.16</v>
      </c>
      <c r="N670" s="5">
        <v>0.15</v>
      </c>
      <c r="O670" s="2">
        <v>523.74</v>
      </c>
      <c r="P670" s="2">
        <v>126.59</v>
      </c>
      <c r="Q670" t="s">
        <v>2168</v>
      </c>
    </row>
    <row r="671" spans="1:17">
      <c r="A671" t="s">
        <v>686</v>
      </c>
      <c r="B671" s="1">
        <v>45818</v>
      </c>
      <c r="C671" t="s">
        <v>1729</v>
      </c>
      <c r="D671" t="s">
        <v>2027</v>
      </c>
      <c r="E671" t="s">
        <v>2114</v>
      </c>
      <c r="F671" t="s">
        <v>2118</v>
      </c>
      <c r="G671" t="s">
        <v>2128</v>
      </c>
      <c r="H671" t="s">
        <v>2128</v>
      </c>
      <c r="I671" t="s">
        <v>2143</v>
      </c>
      <c r="J671" t="s">
        <v>2146</v>
      </c>
      <c r="K671" t="s">
        <v>2164</v>
      </c>
      <c r="L671" s="3">
        <v>4</v>
      </c>
      <c r="M671" s="2">
        <v>18222.45</v>
      </c>
      <c r="N671" s="5">
        <v>0.1</v>
      </c>
      <c r="O671" s="2">
        <v>65600.820000000007</v>
      </c>
      <c r="P671" s="2">
        <v>4171.93</v>
      </c>
      <c r="Q671" t="s">
        <v>2167</v>
      </c>
    </row>
    <row r="672" spans="1:17">
      <c r="A672" t="s">
        <v>687</v>
      </c>
      <c r="B672" s="1">
        <v>45819</v>
      </c>
      <c r="C672" t="s">
        <v>1568</v>
      </c>
      <c r="D672" t="s">
        <v>1866</v>
      </c>
      <c r="E672" t="s">
        <v>2114</v>
      </c>
      <c r="F672" t="s">
        <v>2119</v>
      </c>
      <c r="G672" t="s">
        <v>2130</v>
      </c>
      <c r="H672" t="s">
        <v>2141</v>
      </c>
      <c r="I672" t="s">
        <v>2144</v>
      </c>
      <c r="J672" t="s">
        <v>2152</v>
      </c>
      <c r="K672" t="s">
        <v>2166</v>
      </c>
      <c r="L672" s="3">
        <v>1</v>
      </c>
      <c r="M672" s="2">
        <v>582.55999999999995</v>
      </c>
      <c r="N672" s="5">
        <v>0.15</v>
      </c>
      <c r="O672" s="2">
        <v>495.18</v>
      </c>
      <c r="P672" s="2">
        <v>60.97</v>
      </c>
      <c r="Q672" t="s">
        <v>2168</v>
      </c>
    </row>
    <row r="673" spans="1:17">
      <c r="A673" t="s">
        <v>688</v>
      </c>
      <c r="B673" s="1">
        <v>45819</v>
      </c>
      <c r="C673" t="s">
        <v>1558</v>
      </c>
      <c r="D673" t="s">
        <v>1856</v>
      </c>
      <c r="E673" t="s">
        <v>2113</v>
      </c>
      <c r="F673" t="s">
        <v>2118</v>
      </c>
      <c r="G673" t="s">
        <v>2126</v>
      </c>
      <c r="H673" t="s">
        <v>2137</v>
      </c>
      <c r="I673" t="s">
        <v>2143</v>
      </c>
      <c r="J673" t="s">
        <v>2146</v>
      </c>
      <c r="K673" t="s">
        <v>2164</v>
      </c>
      <c r="L673" s="3">
        <v>2</v>
      </c>
      <c r="M673" s="2">
        <v>18485.54</v>
      </c>
      <c r="N673" s="5">
        <v>0.1</v>
      </c>
      <c r="O673" s="2">
        <v>33273.97</v>
      </c>
      <c r="P673" s="2">
        <v>6395.87</v>
      </c>
      <c r="Q673" t="s">
        <v>2170</v>
      </c>
    </row>
    <row r="674" spans="1:17">
      <c r="A674" t="s">
        <v>689</v>
      </c>
      <c r="B674" s="1">
        <v>45819</v>
      </c>
      <c r="C674" t="s">
        <v>1721</v>
      </c>
      <c r="D674" t="s">
        <v>2019</v>
      </c>
      <c r="E674" t="s">
        <v>2113</v>
      </c>
      <c r="F674" t="s">
        <v>2116</v>
      </c>
      <c r="G674" t="s">
        <v>2120</v>
      </c>
      <c r="H674" t="s">
        <v>2131</v>
      </c>
      <c r="I674" t="s">
        <v>2144</v>
      </c>
      <c r="J674" t="s">
        <v>2152</v>
      </c>
      <c r="K674" t="s">
        <v>2162</v>
      </c>
      <c r="L674" s="3">
        <v>2</v>
      </c>
      <c r="M674" s="2">
        <v>336.89</v>
      </c>
      <c r="N674" s="5">
        <v>0.2</v>
      </c>
      <c r="O674" s="2">
        <v>539.02</v>
      </c>
      <c r="P674" s="2">
        <v>51.14</v>
      </c>
      <c r="Q674" t="s">
        <v>2167</v>
      </c>
    </row>
    <row r="675" spans="1:17">
      <c r="A675" t="s">
        <v>690</v>
      </c>
      <c r="B675" s="1">
        <v>45819</v>
      </c>
      <c r="C675" t="s">
        <v>1737</v>
      </c>
      <c r="D675" t="s">
        <v>2035</v>
      </c>
      <c r="E675" t="s">
        <v>2114</v>
      </c>
      <c r="F675" t="s">
        <v>2117</v>
      </c>
      <c r="G675" t="s">
        <v>2123</v>
      </c>
      <c r="H675" t="s">
        <v>2134</v>
      </c>
      <c r="I675" t="s">
        <v>2143</v>
      </c>
      <c r="J675" t="s">
        <v>2146</v>
      </c>
      <c r="K675" t="s">
        <v>2164</v>
      </c>
      <c r="L675" s="3">
        <v>1</v>
      </c>
      <c r="M675" s="2">
        <v>18865.43</v>
      </c>
      <c r="N675" s="5">
        <v>0.15</v>
      </c>
      <c r="O675" s="2">
        <v>16035.62</v>
      </c>
      <c r="P675" s="2">
        <v>2099.71</v>
      </c>
      <c r="Q675" t="s">
        <v>2169</v>
      </c>
    </row>
    <row r="676" spans="1:17">
      <c r="A676" t="s">
        <v>691</v>
      </c>
      <c r="B676" s="1">
        <v>45820</v>
      </c>
      <c r="C676" t="s">
        <v>1646</v>
      </c>
      <c r="D676" t="s">
        <v>1944</v>
      </c>
      <c r="E676" t="s">
        <v>2114</v>
      </c>
      <c r="F676" t="s">
        <v>2117</v>
      </c>
      <c r="G676" t="s">
        <v>2121</v>
      </c>
      <c r="H676" t="s">
        <v>2132</v>
      </c>
      <c r="I676" t="s">
        <v>2143</v>
      </c>
      <c r="J676" t="s">
        <v>2146</v>
      </c>
      <c r="K676" t="s">
        <v>2164</v>
      </c>
      <c r="L676" s="3">
        <v>5</v>
      </c>
      <c r="M676" s="2">
        <v>18879.16</v>
      </c>
      <c r="N676" s="5">
        <v>0</v>
      </c>
      <c r="O676" s="2">
        <v>94395.8</v>
      </c>
      <c r="P676" s="2">
        <v>20466.82</v>
      </c>
      <c r="Q676" t="s">
        <v>2167</v>
      </c>
    </row>
    <row r="677" spans="1:17">
      <c r="A677" t="s">
        <v>692</v>
      </c>
      <c r="B677" s="1">
        <v>45820</v>
      </c>
      <c r="C677" t="s">
        <v>1687</v>
      </c>
      <c r="D677" t="s">
        <v>1985</v>
      </c>
      <c r="E677" t="s">
        <v>2114</v>
      </c>
      <c r="F677" t="s">
        <v>2119</v>
      </c>
      <c r="G677" t="s">
        <v>2130</v>
      </c>
      <c r="H677" t="s">
        <v>2141</v>
      </c>
      <c r="I677" t="s">
        <v>2143</v>
      </c>
      <c r="J677" t="s">
        <v>2146</v>
      </c>
      <c r="K677" t="s">
        <v>2154</v>
      </c>
      <c r="L677" s="3">
        <v>1</v>
      </c>
      <c r="M677" s="2">
        <v>41123.14</v>
      </c>
      <c r="N677" s="5">
        <v>0</v>
      </c>
      <c r="O677" s="2">
        <v>41123.14</v>
      </c>
      <c r="P677" s="2">
        <v>6825.85</v>
      </c>
      <c r="Q677" t="s">
        <v>2169</v>
      </c>
    </row>
    <row r="678" spans="1:17">
      <c r="A678" t="s">
        <v>693</v>
      </c>
      <c r="B678" s="1">
        <v>45820</v>
      </c>
      <c r="C678" t="s">
        <v>1603</v>
      </c>
      <c r="D678" t="s">
        <v>1901</v>
      </c>
      <c r="E678" t="s">
        <v>2114</v>
      </c>
      <c r="F678" t="s">
        <v>2117</v>
      </c>
      <c r="G678" t="s">
        <v>2123</v>
      </c>
      <c r="H678" t="s">
        <v>2134</v>
      </c>
      <c r="I678" t="s">
        <v>2142</v>
      </c>
      <c r="J678" t="s">
        <v>2145</v>
      </c>
      <c r="K678" t="s">
        <v>2153</v>
      </c>
      <c r="L678" s="3">
        <v>2</v>
      </c>
      <c r="M678" s="2">
        <v>12592.05</v>
      </c>
      <c r="N678" s="5">
        <v>0.1</v>
      </c>
      <c r="O678" s="2">
        <v>22665.69</v>
      </c>
      <c r="P678" s="2">
        <v>2942.44</v>
      </c>
      <c r="Q678" t="s">
        <v>2167</v>
      </c>
    </row>
    <row r="679" spans="1:17">
      <c r="A679" t="s">
        <v>694</v>
      </c>
      <c r="B679" s="1">
        <v>45821</v>
      </c>
      <c r="C679" t="s">
        <v>1744</v>
      </c>
      <c r="D679" t="s">
        <v>2042</v>
      </c>
      <c r="E679" t="s">
        <v>2113</v>
      </c>
      <c r="F679" t="s">
        <v>2119</v>
      </c>
      <c r="G679" t="s">
        <v>2129</v>
      </c>
      <c r="H679" t="s">
        <v>2139</v>
      </c>
      <c r="I679" t="s">
        <v>2144</v>
      </c>
      <c r="J679" t="s">
        <v>2150</v>
      </c>
      <c r="K679" t="s">
        <v>2159</v>
      </c>
      <c r="L679" s="3">
        <v>2</v>
      </c>
      <c r="M679" s="2">
        <v>460.88</v>
      </c>
      <c r="N679" s="5">
        <v>0.1</v>
      </c>
      <c r="O679" s="2">
        <v>829.58</v>
      </c>
      <c r="P679" s="2">
        <v>223.9</v>
      </c>
      <c r="Q679" t="s">
        <v>2167</v>
      </c>
    </row>
    <row r="680" spans="1:17">
      <c r="A680" t="s">
        <v>695</v>
      </c>
      <c r="B680" s="1">
        <v>45821</v>
      </c>
      <c r="C680" t="s">
        <v>1665</v>
      </c>
      <c r="D680" t="s">
        <v>1963</v>
      </c>
      <c r="E680" t="s">
        <v>2113</v>
      </c>
      <c r="F680" t="s">
        <v>2119</v>
      </c>
      <c r="G680" t="s">
        <v>2130</v>
      </c>
      <c r="H680" t="s">
        <v>2141</v>
      </c>
      <c r="I680" t="s">
        <v>2142</v>
      </c>
      <c r="J680" t="s">
        <v>2145</v>
      </c>
      <c r="K680" t="s">
        <v>2153</v>
      </c>
      <c r="L680" s="3">
        <v>3</v>
      </c>
      <c r="M680" s="2">
        <v>11489.95</v>
      </c>
      <c r="N680" s="5">
        <v>0.2</v>
      </c>
      <c r="O680" s="2">
        <v>27575.88</v>
      </c>
      <c r="P680" s="2">
        <v>2591.8000000000002</v>
      </c>
      <c r="Q680" t="s">
        <v>2168</v>
      </c>
    </row>
    <row r="681" spans="1:17">
      <c r="A681" t="s">
        <v>696</v>
      </c>
      <c r="B681" s="1">
        <v>45821</v>
      </c>
      <c r="C681" t="s">
        <v>1778</v>
      </c>
      <c r="D681" t="s">
        <v>2076</v>
      </c>
      <c r="E681" t="s">
        <v>2114</v>
      </c>
      <c r="F681" t="s">
        <v>2118</v>
      </c>
      <c r="G681" t="s">
        <v>2126</v>
      </c>
      <c r="H681" t="s">
        <v>2137</v>
      </c>
      <c r="I681" t="s">
        <v>2143</v>
      </c>
      <c r="J681" t="s">
        <v>2146</v>
      </c>
      <c r="K681" t="s">
        <v>2164</v>
      </c>
      <c r="L681" s="3">
        <v>3</v>
      </c>
      <c r="M681" s="2">
        <v>17638.07</v>
      </c>
      <c r="N681" s="5">
        <v>0.1</v>
      </c>
      <c r="O681" s="2">
        <v>47622.79</v>
      </c>
      <c r="P681" s="2">
        <v>5813.4</v>
      </c>
      <c r="Q681" t="s">
        <v>2167</v>
      </c>
    </row>
    <row r="682" spans="1:17">
      <c r="A682" t="s">
        <v>697</v>
      </c>
      <c r="B682" s="1">
        <v>45821</v>
      </c>
      <c r="C682" t="s">
        <v>1552</v>
      </c>
      <c r="D682" t="s">
        <v>1850</v>
      </c>
      <c r="E682" t="s">
        <v>2114</v>
      </c>
      <c r="F682" t="s">
        <v>2118</v>
      </c>
      <c r="G682" t="s">
        <v>2122</v>
      </c>
      <c r="H682" t="s">
        <v>2133</v>
      </c>
      <c r="I682" t="s">
        <v>2144</v>
      </c>
      <c r="J682" t="s">
        <v>2152</v>
      </c>
      <c r="K682" t="s">
        <v>2162</v>
      </c>
      <c r="L682" s="3">
        <v>4</v>
      </c>
      <c r="M682" s="2">
        <v>365.51</v>
      </c>
      <c r="N682" s="5">
        <v>0.05</v>
      </c>
      <c r="O682" s="2">
        <v>1388.94</v>
      </c>
      <c r="P682" s="2">
        <v>239.79</v>
      </c>
      <c r="Q682" t="s">
        <v>2170</v>
      </c>
    </row>
    <row r="683" spans="1:17">
      <c r="A683" t="s">
        <v>698</v>
      </c>
      <c r="B683" s="1">
        <v>45822</v>
      </c>
      <c r="C683" t="s">
        <v>1650</v>
      </c>
      <c r="D683" t="s">
        <v>1948</v>
      </c>
      <c r="E683" t="s">
        <v>2114</v>
      </c>
      <c r="F683" t="s">
        <v>2119</v>
      </c>
      <c r="G683" t="s">
        <v>2124</v>
      </c>
      <c r="H683" t="s">
        <v>2135</v>
      </c>
      <c r="I683" t="s">
        <v>2144</v>
      </c>
      <c r="J683" t="s">
        <v>2152</v>
      </c>
      <c r="K683" t="s">
        <v>2166</v>
      </c>
      <c r="L683" s="3">
        <v>4</v>
      </c>
      <c r="M683" s="2">
        <v>580.16</v>
      </c>
      <c r="N683" s="5">
        <v>0.05</v>
      </c>
      <c r="O683" s="2">
        <v>2204.61</v>
      </c>
      <c r="P683" s="2">
        <v>533.35</v>
      </c>
      <c r="Q683" t="s">
        <v>2170</v>
      </c>
    </row>
    <row r="684" spans="1:17">
      <c r="A684" t="s">
        <v>699</v>
      </c>
      <c r="B684" s="1">
        <v>45822</v>
      </c>
      <c r="C684" t="s">
        <v>1795</v>
      </c>
      <c r="D684" t="s">
        <v>2093</v>
      </c>
      <c r="E684" t="s">
        <v>2115</v>
      </c>
      <c r="F684" t="s">
        <v>2116</v>
      </c>
      <c r="G684" t="s">
        <v>2127</v>
      </c>
      <c r="H684" t="s">
        <v>2140</v>
      </c>
      <c r="I684" t="s">
        <v>2142</v>
      </c>
      <c r="J684" t="s">
        <v>2151</v>
      </c>
      <c r="K684" t="s">
        <v>2160</v>
      </c>
      <c r="L684" s="3">
        <v>1</v>
      </c>
      <c r="M684" s="2">
        <v>8700.61</v>
      </c>
      <c r="N684" s="5">
        <v>0.1</v>
      </c>
      <c r="O684" s="2">
        <v>7830.55</v>
      </c>
      <c r="P684" s="2">
        <v>1377.16</v>
      </c>
      <c r="Q684" t="s">
        <v>2169</v>
      </c>
    </row>
    <row r="685" spans="1:17">
      <c r="A685" t="s">
        <v>700</v>
      </c>
      <c r="B685" s="1">
        <v>45822</v>
      </c>
      <c r="C685" t="s">
        <v>1713</v>
      </c>
      <c r="D685" t="s">
        <v>2011</v>
      </c>
      <c r="E685" t="s">
        <v>2115</v>
      </c>
      <c r="F685" t="s">
        <v>2119</v>
      </c>
      <c r="G685" t="s">
        <v>2130</v>
      </c>
      <c r="H685" t="s">
        <v>2141</v>
      </c>
      <c r="I685" t="s">
        <v>2143</v>
      </c>
      <c r="J685" t="s">
        <v>2146</v>
      </c>
      <c r="K685" t="s">
        <v>2164</v>
      </c>
      <c r="L685" s="3">
        <v>3</v>
      </c>
      <c r="M685" s="2">
        <v>18446.11</v>
      </c>
      <c r="N685" s="5">
        <v>0.15</v>
      </c>
      <c r="O685" s="2">
        <v>47037.58</v>
      </c>
      <c r="P685" s="2">
        <v>3666.06</v>
      </c>
      <c r="Q685" t="s">
        <v>2168</v>
      </c>
    </row>
    <row r="686" spans="1:17">
      <c r="A686" t="s">
        <v>701</v>
      </c>
      <c r="B686" s="1">
        <v>45823</v>
      </c>
      <c r="C686" t="s">
        <v>1559</v>
      </c>
      <c r="D686" t="s">
        <v>1857</v>
      </c>
      <c r="E686" t="s">
        <v>2113</v>
      </c>
      <c r="F686" t="s">
        <v>2116</v>
      </c>
      <c r="G686" t="s">
        <v>2127</v>
      </c>
      <c r="H686" t="s">
        <v>2138</v>
      </c>
      <c r="I686" t="s">
        <v>2144</v>
      </c>
      <c r="J686" t="s">
        <v>2152</v>
      </c>
      <c r="K686" t="s">
        <v>2162</v>
      </c>
      <c r="L686" s="3">
        <v>1</v>
      </c>
      <c r="M686" s="2">
        <v>347.48</v>
      </c>
      <c r="N686" s="5">
        <v>0.05</v>
      </c>
      <c r="O686" s="2">
        <v>330.11</v>
      </c>
      <c r="P686" s="2">
        <v>102.02</v>
      </c>
      <c r="Q686" t="s">
        <v>2167</v>
      </c>
    </row>
    <row r="687" spans="1:17">
      <c r="A687" t="s">
        <v>702</v>
      </c>
      <c r="B687" s="1">
        <v>45823</v>
      </c>
      <c r="C687" t="s">
        <v>1612</v>
      </c>
      <c r="D687" t="s">
        <v>1910</v>
      </c>
      <c r="E687" t="s">
        <v>2115</v>
      </c>
      <c r="F687" t="s">
        <v>2116</v>
      </c>
      <c r="G687" t="s">
        <v>2127</v>
      </c>
      <c r="H687" t="s">
        <v>2140</v>
      </c>
      <c r="I687" t="s">
        <v>2143</v>
      </c>
      <c r="J687" t="s">
        <v>2146</v>
      </c>
      <c r="K687" t="s">
        <v>2154</v>
      </c>
      <c r="L687" s="3">
        <v>1</v>
      </c>
      <c r="M687" s="2">
        <v>40299.24</v>
      </c>
      <c r="N687" s="5">
        <v>0.1</v>
      </c>
      <c r="O687" s="2">
        <v>36269.32</v>
      </c>
      <c r="P687" s="2">
        <v>3181.87</v>
      </c>
      <c r="Q687" t="s">
        <v>2167</v>
      </c>
    </row>
    <row r="688" spans="1:17">
      <c r="A688" t="s">
        <v>703</v>
      </c>
      <c r="B688" s="1">
        <v>45824</v>
      </c>
      <c r="C688" t="s">
        <v>1703</v>
      </c>
      <c r="D688" t="s">
        <v>2001</v>
      </c>
      <c r="E688" t="s">
        <v>2114</v>
      </c>
      <c r="F688" t="s">
        <v>2119</v>
      </c>
      <c r="G688" t="s">
        <v>2129</v>
      </c>
      <c r="H688" t="s">
        <v>2139</v>
      </c>
      <c r="I688" t="s">
        <v>2144</v>
      </c>
      <c r="J688" t="s">
        <v>2150</v>
      </c>
      <c r="K688" t="s">
        <v>2159</v>
      </c>
      <c r="L688" s="3">
        <v>3</v>
      </c>
      <c r="M688" s="2">
        <v>448.15</v>
      </c>
      <c r="N688" s="5">
        <v>0.05</v>
      </c>
      <c r="O688" s="2">
        <v>1277.23</v>
      </c>
      <c r="P688" s="2">
        <v>430.2</v>
      </c>
      <c r="Q688" t="s">
        <v>2168</v>
      </c>
    </row>
    <row r="689" spans="1:17">
      <c r="A689" t="s">
        <v>704</v>
      </c>
      <c r="B689" s="1">
        <v>45824</v>
      </c>
      <c r="C689" t="s">
        <v>1746</v>
      </c>
      <c r="D689" t="s">
        <v>2044</v>
      </c>
      <c r="E689" t="s">
        <v>2113</v>
      </c>
      <c r="F689" t="s">
        <v>2118</v>
      </c>
      <c r="G689" t="s">
        <v>2126</v>
      </c>
      <c r="H689" t="s">
        <v>2137</v>
      </c>
      <c r="I689" t="s">
        <v>2144</v>
      </c>
      <c r="J689" t="s">
        <v>2152</v>
      </c>
      <c r="K689" t="s">
        <v>2162</v>
      </c>
      <c r="L689" s="3">
        <v>4</v>
      </c>
      <c r="M689" s="2">
        <v>333.53</v>
      </c>
      <c r="N689" s="5">
        <v>0</v>
      </c>
      <c r="O689" s="2">
        <v>1334.12</v>
      </c>
      <c r="P689" s="2">
        <v>247.68</v>
      </c>
      <c r="Q689" t="s">
        <v>2167</v>
      </c>
    </row>
    <row r="690" spans="1:17">
      <c r="A690" t="s">
        <v>705</v>
      </c>
      <c r="B690" s="1">
        <v>45824</v>
      </c>
      <c r="C690" t="s">
        <v>1531</v>
      </c>
      <c r="D690" t="s">
        <v>1829</v>
      </c>
      <c r="E690" t="s">
        <v>2115</v>
      </c>
      <c r="F690" t="s">
        <v>2117</v>
      </c>
      <c r="G690" t="s">
        <v>2123</v>
      </c>
      <c r="H690" t="s">
        <v>2134</v>
      </c>
      <c r="I690" t="s">
        <v>2143</v>
      </c>
      <c r="J690" t="s">
        <v>2146</v>
      </c>
      <c r="K690" t="s">
        <v>2164</v>
      </c>
      <c r="L690" s="3">
        <v>3</v>
      </c>
      <c r="M690" s="2">
        <v>18488.830000000002</v>
      </c>
      <c r="N690" s="5">
        <v>0.1</v>
      </c>
      <c r="O690" s="2">
        <v>49919.839999999997</v>
      </c>
      <c r="P690" s="2">
        <v>6950.08</v>
      </c>
      <c r="Q690" t="s">
        <v>2169</v>
      </c>
    </row>
    <row r="691" spans="1:17">
      <c r="A691" t="s">
        <v>706</v>
      </c>
      <c r="B691" s="1">
        <v>45824</v>
      </c>
      <c r="C691" t="s">
        <v>1575</v>
      </c>
      <c r="D691" t="s">
        <v>1873</v>
      </c>
      <c r="E691" t="s">
        <v>2113</v>
      </c>
      <c r="F691" t="s">
        <v>2117</v>
      </c>
      <c r="G691" t="s">
        <v>2123</v>
      </c>
      <c r="H691" t="s">
        <v>2134</v>
      </c>
      <c r="I691" t="s">
        <v>2144</v>
      </c>
      <c r="J691" t="s">
        <v>2150</v>
      </c>
      <c r="K691" t="s">
        <v>2159</v>
      </c>
      <c r="L691" s="3">
        <v>2</v>
      </c>
      <c r="M691" s="2">
        <v>441.09</v>
      </c>
      <c r="N691" s="5">
        <v>0.05</v>
      </c>
      <c r="O691" s="2">
        <v>838.07</v>
      </c>
      <c r="P691" s="2">
        <v>235.29</v>
      </c>
      <c r="Q691" t="s">
        <v>2169</v>
      </c>
    </row>
    <row r="692" spans="1:17">
      <c r="A692" t="s">
        <v>707</v>
      </c>
      <c r="B692" s="1">
        <v>45824</v>
      </c>
      <c r="C692" t="s">
        <v>1747</v>
      </c>
      <c r="D692" t="s">
        <v>2045</v>
      </c>
      <c r="E692" t="s">
        <v>2114</v>
      </c>
      <c r="F692" t="s">
        <v>2117</v>
      </c>
      <c r="G692" t="s">
        <v>2125</v>
      </c>
      <c r="H692" t="s">
        <v>2136</v>
      </c>
      <c r="I692" t="s">
        <v>2143</v>
      </c>
      <c r="J692" t="s">
        <v>2148</v>
      </c>
      <c r="K692" t="s">
        <v>2156</v>
      </c>
      <c r="L692" s="3">
        <v>5</v>
      </c>
      <c r="M692" s="2">
        <v>1208.02</v>
      </c>
      <c r="N692" s="5">
        <v>0.15</v>
      </c>
      <c r="O692" s="2">
        <v>5134.09</v>
      </c>
      <c r="P692" s="2">
        <v>515.08000000000004</v>
      </c>
      <c r="Q692" t="s">
        <v>2168</v>
      </c>
    </row>
    <row r="693" spans="1:17">
      <c r="A693" t="s">
        <v>708</v>
      </c>
      <c r="B693" s="1">
        <v>45825</v>
      </c>
      <c r="C693" t="s">
        <v>1696</v>
      </c>
      <c r="D693" t="s">
        <v>1994</v>
      </c>
      <c r="E693" t="s">
        <v>2114</v>
      </c>
      <c r="F693" t="s">
        <v>2119</v>
      </c>
      <c r="G693" t="s">
        <v>2130</v>
      </c>
      <c r="H693" t="s">
        <v>2141</v>
      </c>
      <c r="I693" t="s">
        <v>2143</v>
      </c>
      <c r="J693" t="s">
        <v>2149</v>
      </c>
      <c r="K693" t="s">
        <v>2158</v>
      </c>
      <c r="L693" s="3">
        <v>2</v>
      </c>
      <c r="M693" s="2">
        <v>48863.93</v>
      </c>
      <c r="N693" s="5">
        <v>0.15</v>
      </c>
      <c r="O693" s="2">
        <v>83068.679999999993</v>
      </c>
      <c r="P693" s="2">
        <v>13507.97</v>
      </c>
      <c r="Q693" t="s">
        <v>2167</v>
      </c>
    </row>
    <row r="694" spans="1:17">
      <c r="A694" t="s">
        <v>709</v>
      </c>
      <c r="B694" s="1">
        <v>45825</v>
      </c>
      <c r="C694" t="s">
        <v>1796</v>
      </c>
      <c r="D694" t="s">
        <v>2094</v>
      </c>
      <c r="E694" t="s">
        <v>2113</v>
      </c>
      <c r="F694" t="s">
        <v>2119</v>
      </c>
      <c r="G694" t="s">
        <v>2129</v>
      </c>
      <c r="H694" t="s">
        <v>2139</v>
      </c>
      <c r="I694" t="s">
        <v>2144</v>
      </c>
      <c r="J694" t="s">
        <v>2150</v>
      </c>
      <c r="K694" t="s">
        <v>2159</v>
      </c>
      <c r="L694" s="3">
        <v>1</v>
      </c>
      <c r="M694" s="2">
        <v>462.21</v>
      </c>
      <c r="N694" s="5">
        <v>0</v>
      </c>
      <c r="O694" s="2">
        <v>462.21</v>
      </c>
      <c r="P694" s="2">
        <v>147.12</v>
      </c>
      <c r="Q694" t="s">
        <v>2169</v>
      </c>
    </row>
    <row r="695" spans="1:17">
      <c r="A695" t="s">
        <v>710</v>
      </c>
      <c r="B695" s="1">
        <v>45825</v>
      </c>
      <c r="C695" t="s">
        <v>1568</v>
      </c>
      <c r="D695" t="s">
        <v>1866</v>
      </c>
      <c r="E695" t="s">
        <v>2114</v>
      </c>
      <c r="F695" t="s">
        <v>2119</v>
      </c>
      <c r="G695" t="s">
        <v>2124</v>
      </c>
      <c r="H695" t="s">
        <v>2135</v>
      </c>
      <c r="I695" t="s">
        <v>2143</v>
      </c>
      <c r="J695" t="s">
        <v>2146</v>
      </c>
      <c r="K695" t="s">
        <v>2164</v>
      </c>
      <c r="L695" s="3">
        <v>1</v>
      </c>
      <c r="M695" s="2">
        <v>17390.919999999998</v>
      </c>
      <c r="N695" s="5">
        <v>0.1</v>
      </c>
      <c r="O695" s="2">
        <v>15651.83</v>
      </c>
      <c r="P695" s="2">
        <v>1285.06</v>
      </c>
      <c r="Q695" t="s">
        <v>2169</v>
      </c>
    </row>
    <row r="696" spans="1:17">
      <c r="A696" t="s">
        <v>711</v>
      </c>
      <c r="B696" s="1">
        <v>45825</v>
      </c>
      <c r="C696" t="s">
        <v>1554</v>
      </c>
      <c r="D696" t="s">
        <v>1852</v>
      </c>
      <c r="E696" t="s">
        <v>2114</v>
      </c>
      <c r="F696" t="s">
        <v>2118</v>
      </c>
      <c r="G696" t="s">
        <v>2126</v>
      </c>
      <c r="H696" t="s">
        <v>2137</v>
      </c>
      <c r="I696" t="s">
        <v>2144</v>
      </c>
      <c r="J696" t="s">
        <v>2147</v>
      </c>
      <c r="K696" t="s">
        <v>2155</v>
      </c>
      <c r="L696" s="3">
        <v>5</v>
      </c>
      <c r="M696" s="2">
        <v>776.97</v>
      </c>
      <c r="N696" s="5">
        <v>0</v>
      </c>
      <c r="O696" s="2">
        <v>3884.85</v>
      </c>
      <c r="P696" s="2">
        <v>713.89</v>
      </c>
      <c r="Q696" t="s">
        <v>2169</v>
      </c>
    </row>
    <row r="697" spans="1:17">
      <c r="A697" t="s">
        <v>712</v>
      </c>
      <c r="B697" s="1">
        <v>45826</v>
      </c>
      <c r="C697" t="s">
        <v>1763</v>
      </c>
      <c r="D697" t="s">
        <v>2061</v>
      </c>
      <c r="E697" t="s">
        <v>2115</v>
      </c>
      <c r="F697" t="s">
        <v>2118</v>
      </c>
      <c r="G697" t="s">
        <v>2126</v>
      </c>
      <c r="H697" t="s">
        <v>2137</v>
      </c>
      <c r="I697" t="s">
        <v>2142</v>
      </c>
      <c r="J697" t="s">
        <v>2151</v>
      </c>
      <c r="K697" t="s">
        <v>2160</v>
      </c>
      <c r="L697" s="3">
        <v>1</v>
      </c>
      <c r="M697" s="2">
        <v>8210.7900000000009</v>
      </c>
      <c r="N697" s="5">
        <v>0.05</v>
      </c>
      <c r="O697" s="2">
        <v>7800.25</v>
      </c>
      <c r="P697" s="2">
        <v>1073.98</v>
      </c>
      <c r="Q697" t="s">
        <v>2169</v>
      </c>
    </row>
    <row r="698" spans="1:17">
      <c r="A698" t="s">
        <v>713</v>
      </c>
      <c r="B698" s="1">
        <v>45826</v>
      </c>
      <c r="C698" t="s">
        <v>1669</v>
      </c>
      <c r="D698" t="s">
        <v>1967</v>
      </c>
      <c r="E698" t="s">
        <v>2114</v>
      </c>
      <c r="F698" t="s">
        <v>2117</v>
      </c>
      <c r="G698" t="s">
        <v>2123</v>
      </c>
      <c r="H698" t="s">
        <v>2134</v>
      </c>
      <c r="I698" t="s">
        <v>2144</v>
      </c>
      <c r="J698" t="s">
        <v>2150</v>
      </c>
      <c r="K698" t="s">
        <v>2159</v>
      </c>
      <c r="L698" s="3">
        <v>1</v>
      </c>
      <c r="M698" s="2">
        <v>439.87</v>
      </c>
      <c r="N698" s="5">
        <v>0.15</v>
      </c>
      <c r="O698" s="2">
        <v>373.89</v>
      </c>
      <c r="P698" s="2">
        <v>59.15</v>
      </c>
      <c r="Q698" t="s">
        <v>2170</v>
      </c>
    </row>
    <row r="699" spans="1:17">
      <c r="A699" t="s">
        <v>714</v>
      </c>
      <c r="B699" s="1">
        <v>45827</v>
      </c>
      <c r="C699" t="s">
        <v>1519</v>
      </c>
      <c r="D699" t="s">
        <v>1817</v>
      </c>
      <c r="E699" t="s">
        <v>2114</v>
      </c>
      <c r="F699" t="s">
        <v>2118</v>
      </c>
      <c r="G699" t="s">
        <v>2128</v>
      </c>
      <c r="H699" t="s">
        <v>2128</v>
      </c>
      <c r="I699" t="s">
        <v>2143</v>
      </c>
      <c r="J699" t="s">
        <v>2146</v>
      </c>
      <c r="K699" t="s">
        <v>2154</v>
      </c>
      <c r="L699" s="3">
        <v>5</v>
      </c>
      <c r="M699" s="2">
        <v>40840.17</v>
      </c>
      <c r="N699" s="5">
        <v>0.1</v>
      </c>
      <c r="O699" s="2">
        <v>183780.76</v>
      </c>
      <c r="P699" s="2">
        <v>32423.27</v>
      </c>
      <c r="Q699" t="s">
        <v>2167</v>
      </c>
    </row>
    <row r="700" spans="1:17">
      <c r="A700" t="s">
        <v>715</v>
      </c>
      <c r="B700" s="1">
        <v>45827</v>
      </c>
      <c r="C700" t="s">
        <v>1691</v>
      </c>
      <c r="D700" t="s">
        <v>1989</v>
      </c>
      <c r="E700" t="s">
        <v>2113</v>
      </c>
      <c r="F700" t="s">
        <v>2116</v>
      </c>
      <c r="G700" t="s">
        <v>2120</v>
      </c>
      <c r="H700" t="s">
        <v>2131</v>
      </c>
      <c r="I700" t="s">
        <v>2142</v>
      </c>
      <c r="J700" t="s">
        <v>2147</v>
      </c>
      <c r="K700" t="s">
        <v>2157</v>
      </c>
      <c r="L700" s="3">
        <v>2</v>
      </c>
      <c r="M700" s="2">
        <v>14417.44</v>
      </c>
      <c r="N700" s="5">
        <v>0.05</v>
      </c>
      <c r="O700" s="2">
        <v>27393.14</v>
      </c>
      <c r="P700" s="2">
        <v>5021.18</v>
      </c>
      <c r="Q700" t="s">
        <v>2170</v>
      </c>
    </row>
    <row r="701" spans="1:17">
      <c r="A701" t="s">
        <v>716</v>
      </c>
      <c r="B701" s="1">
        <v>45827</v>
      </c>
      <c r="C701" t="s">
        <v>1555</v>
      </c>
      <c r="D701" t="s">
        <v>1853</v>
      </c>
      <c r="E701" t="s">
        <v>2114</v>
      </c>
      <c r="F701" t="s">
        <v>2119</v>
      </c>
      <c r="G701" t="s">
        <v>2124</v>
      </c>
      <c r="H701" t="s">
        <v>2135</v>
      </c>
      <c r="I701" t="s">
        <v>2143</v>
      </c>
      <c r="J701" t="s">
        <v>2146</v>
      </c>
      <c r="K701" t="s">
        <v>2154</v>
      </c>
      <c r="L701" s="3">
        <v>1</v>
      </c>
      <c r="M701" s="2">
        <v>43881.25</v>
      </c>
      <c r="N701" s="5">
        <v>0.15</v>
      </c>
      <c r="O701" s="2">
        <v>37299.06</v>
      </c>
      <c r="P701" s="2">
        <v>4934.75</v>
      </c>
      <c r="Q701" t="s">
        <v>2168</v>
      </c>
    </row>
    <row r="702" spans="1:17">
      <c r="A702" t="s">
        <v>717</v>
      </c>
      <c r="B702" s="1">
        <v>45827</v>
      </c>
      <c r="C702" t="s">
        <v>1769</v>
      </c>
      <c r="D702" t="s">
        <v>2067</v>
      </c>
      <c r="E702" t="s">
        <v>2114</v>
      </c>
      <c r="F702" t="s">
        <v>2118</v>
      </c>
      <c r="G702" t="s">
        <v>2122</v>
      </c>
      <c r="H702" t="s">
        <v>2133</v>
      </c>
      <c r="I702" t="s">
        <v>2143</v>
      </c>
      <c r="J702" t="s">
        <v>2146</v>
      </c>
      <c r="K702" t="s">
        <v>2154</v>
      </c>
      <c r="L702" s="3">
        <v>2</v>
      </c>
      <c r="M702" s="2">
        <v>43622.59</v>
      </c>
      <c r="N702" s="5">
        <v>0.15</v>
      </c>
      <c r="O702" s="2">
        <v>74158.399999999994</v>
      </c>
      <c r="P702" s="2">
        <v>5076.07</v>
      </c>
      <c r="Q702" t="s">
        <v>2167</v>
      </c>
    </row>
    <row r="703" spans="1:17">
      <c r="A703" t="s">
        <v>718</v>
      </c>
      <c r="B703" s="1">
        <v>45828</v>
      </c>
      <c r="C703" t="s">
        <v>1653</v>
      </c>
      <c r="D703" t="s">
        <v>1951</v>
      </c>
      <c r="E703" t="s">
        <v>2113</v>
      </c>
      <c r="F703" t="s">
        <v>2119</v>
      </c>
      <c r="G703" t="s">
        <v>2129</v>
      </c>
      <c r="H703" t="s">
        <v>2139</v>
      </c>
      <c r="I703" t="s">
        <v>2144</v>
      </c>
      <c r="J703" t="s">
        <v>2152</v>
      </c>
      <c r="K703" t="s">
        <v>2162</v>
      </c>
      <c r="L703" s="3">
        <v>1</v>
      </c>
      <c r="M703" s="2">
        <v>336.1</v>
      </c>
      <c r="N703" s="5">
        <v>0.15</v>
      </c>
      <c r="O703" s="2">
        <v>285.69</v>
      </c>
      <c r="P703" s="2">
        <v>35.270000000000003</v>
      </c>
      <c r="Q703" t="s">
        <v>2168</v>
      </c>
    </row>
    <row r="704" spans="1:17">
      <c r="A704" t="s">
        <v>719</v>
      </c>
      <c r="B704" s="1">
        <v>45828</v>
      </c>
      <c r="C704" t="s">
        <v>1556</v>
      </c>
      <c r="D704" t="s">
        <v>1854</v>
      </c>
      <c r="E704" t="s">
        <v>2115</v>
      </c>
      <c r="F704" t="s">
        <v>2116</v>
      </c>
      <c r="G704" t="s">
        <v>2127</v>
      </c>
      <c r="H704" t="s">
        <v>2138</v>
      </c>
      <c r="I704" t="s">
        <v>2142</v>
      </c>
      <c r="J704" t="s">
        <v>2147</v>
      </c>
      <c r="K704" t="s">
        <v>2157</v>
      </c>
      <c r="L704" s="3">
        <v>1</v>
      </c>
      <c r="M704" s="2">
        <v>14826.21</v>
      </c>
      <c r="N704" s="5">
        <v>0.05</v>
      </c>
      <c r="O704" s="2">
        <v>14084.9</v>
      </c>
      <c r="P704" s="2">
        <v>1604.18</v>
      </c>
      <c r="Q704" t="s">
        <v>2168</v>
      </c>
    </row>
    <row r="705" spans="1:17">
      <c r="A705" t="s">
        <v>720</v>
      </c>
      <c r="B705" s="1">
        <v>45828</v>
      </c>
      <c r="C705" t="s">
        <v>1517</v>
      </c>
      <c r="D705" t="s">
        <v>1815</v>
      </c>
      <c r="E705" t="s">
        <v>2114</v>
      </c>
      <c r="F705" t="s">
        <v>2118</v>
      </c>
      <c r="G705" t="s">
        <v>2128</v>
      </c>
      <c r="H705" t="s">
        <v>2128</v>
      </c>
      <c r="I705" t="s">
        <v>2143</v>
      </c>
      <c r="J705" t="s">
        <v>2149</v>
      </c>
      <c r="K705" t="s">
        <v>2163</v>
      </c>
      <c r="L705" s="3">
        <v>2</v>
      </c>
      <c r="M705" s="2">
        <v>64226.19</v>
      </c>
      <c r="N705" s="5">
        <v>0.1</v>
      </c>
      <c r="O705" s="2">
        <v>115607.14</v>
      </c>
      <c r="P705" s="2">
        <v>7243.09</v>
      </c>
      <c r="Q705" t="s">
        <v>2169</v>
      </c>
    </row>
    <row r="706" spans="1:17">
      <c r="A706" t="s">
        <v>721</v>
      </c>
      <c r="B706" s="1">
        <v>45828</v>
      </c>
      <c r="C706" t="s">
        <v>1543</v>
      </c>
      <c r="D706" t="s">
        <v>1841</v>
      </c>
      <c r="E706" t="s">
        <v>2113</v>
      </c>
      <c r="F706" t="s">
        <v>2118</v>
      </c>
      <c r="G706" t="s">
        <v>2126</v>
      </c>
      <c r="H706" t="s">
        <v>2137</v>
      </c>
      <c r="I706" t="s">
        <v>2144</v>
      </c>
      <c r="J706" t="s">
        <v>2152</v>
      </c>
      <c r="K706" t="s">
        <v>2166</v>
      </c>
      <c r="L706" s="3">
        <v>4</v>
      </c>
      <c r="M706" s="2">
        <v>577.15</v>
      </c>
      <c r="N706" s="5">
        <v>0.05</v>
      </c>
      <c r="O706" s="2">
        <v>2193.17</v>
      </c>
      <c r="P706" s="2">
        <v>533.20000000000005</v>
      </c>
      <c r="Q706" t="s">
        <v>2168</v>
      </c>
    </row>
    <row r="707" spans="1:17">
      <c r="A707" t="s">
        <v>722</v>
      </c>
      <c r="B707" s="1">
        <v>45829</v>
      </c>
      <c r="C707" t="s">
        <v>1621</v>
      </c>
      <c r="D707" t="s">
        <v>1919</v>
      </c>
      <c r="E707" t="s">
        <v>2115</v>
      </c>
      <c r="F707" t="s">
        <v>2116</v>
      </c>
      <c r="G707" t="s">
        <v>2127</v>
      </c>
      <c r="H707" t="s">
        <v>2138</v>
      </c>
      <c r="I707" t="s">
        <v>2143</v>
      </c>
      <c r="J707" t="s">
        <v>2146</v>
      </c>
      <c r="K707" t="s">
        <v>2164</v>
      </c>
      <c r="L707" s="3">
        <v>1</v>
      </c>
      <c r="M707" s="2">
        <v>18391.439999999999</v>
      </c>
      <c r="N707" s="5">
        <v>0</v>
      </c>
      <c r="O707" s="2">
        <v>18391.439999999999</v>
      </c>
      <c r="P707" s="2">
        <v>2695.57</v>
      </c>
      <c r="Q707" t="s">
        <v>2168</v>
      </c>
    </row>
    <row r="708" spans="1:17">
      <c r="A708" t="s">
        <v>723</v>
      </c>
      <c r="B708" s="1">
        <v>45829</v>
      </c>
      <c r="C708" t="s">
        <v>1685</v>
      </c>
      <c r="D708" t="s">
        <v>1983</v>
      </c>
      <c r="E708" t="s">
        <v>2114</v>
      </c>
      <c r="F708" t="s">
        <v>2119</v>
      </c>
      <c r="G708" t="s">
        <v>2129</v>
      </c>
      <c r="H708" t="s">
        <v>2139</v>
      </c>
      <c r="I708" t="s">
        <v>2142</v>
      </c>
      <c r="J708" t="s">
        <v>2147</v>
      </c>
      <c r="K708" t="s">
        <v>2157</v>
      </c>
      <c r="L708" s="3">
        <v>4</v>
      </c>
      <c r="M708" s="2">
        <v>14325.42</v>
      </c>
      <c r="N708" s="5">
        <v>0.1</v>
      </c>
      <c r="O708" s="2">
        <v>51571.51</v>
      </c>
      <c r="P708" s="2">
        <v>11036.38</v>
      </c>
      <c r="Q708" t="s">
        <v>2170</v>
      </c>
    </row>
    <row r="709" spans="1:17">
      <c r="A709" t="s">
        <v>724</v>
      </c>
      <c r="B709" s="1">
        <v>45829</v>
      </c>
      <c r="C709" t="s">
        <v>1593</v>
      </c>
      <c r="D709" t="s">
        <v>1891</v>
      </c>
      <c r="E709" t="s">
        <v>2115</v>
      </c>
      <c r="F709" t="s">
        <v>2117</v>
      </c>
      <c r="G709" t="s">
        <v>2123</v>
      </c>
      <c r="H709" t="s">
        <v>2134</v>
      </c>
      <c r="I709" t="s">
        <v>2144</v>
      </c>
      <c r="J709" t="s">
        <v>2150</v>
      </c>
      <c r="K709" t="s">
        <v>2159</v>
      </c>
      <c r="L709" s="3">
        <v>4</v>
      </c>
      <c r="M709" s="2">
        <v>443.39</v>
      </c>
      <c r="N709" s="5">
        <v>0.1</v>
      </c>
      <c r="O709" s="2">
        <v>1596.2</v>
      </c>
      <c r="P709" s="2">
        <v>456.66</v>
      </c>
      <c r="Q709" t="s">
        <v>2168</v>
      </c>
    </row>
    <row r="710" spans="1:17">
      <c r="A710" t="s">
        <v>725</v>
      </c>
      <c r="B710" s="1">
        <v>45829</v>
      </c>
      <c r="C710" t="s">
        <v>1797</v>
      </c>
      <c r="D710" t="s">
        <v>2095</v>
      </c>
      <c r="E710" t="s">
        <v>2114</v>
      </c>
      <c r="F710" t="s">
        <v>2119</v>
      </c>
      <c r="G710" t="s">
        <v>2124</v>
      </c>
      <c r="H710" t="s">
        <v>2135</v>
      </c>
      <c r="I710" t="s">
        <v>2142</v>
      </c>
      <c r="J710" t="s">
        <v>2147</v>
      </c>
      <c r="K710" t="s">
        <v>2157</v>
      </c>
      <c r="L710" s="3">
        <v>1</v>
      </c>
      <c r="M710" s="2">
        <v>14652.75</v>
      </c>
      <c r="N710" s="5">
        <v>0.1</v>
      </c>
      <c r="O710" s="2">
        <v>13187.48</v>
      </c>
      <c r="P710" s="2">
        <v>1622.33</v>
      </c>
      <c r="Q710" t="s">
        <v>2167</v>
      </c>
    </row>
    <row r="711" spans="1:17">
      <c r="A711" t="s">
        <v>726</v>
      </c>
      <c r="B711" s="1">
        <v>45829</v>
      </c>
      <c r="C711" t="s">
        <v>1772</v>
      </c>
      <c r="D711" t="s">
        <v>2070</v>
      </c>
      <c r="E711" t="s">
        <v>2113</v>
      </c>
      <c r="F711" t="s">
        <v>2118</v>
      </c>
      <c r="G711" t="s">
        <v>2126</v>
      </c>
      <c r="H711" t="s">
        <v>2137</v>
      </c>
      <c r="I711" t="s">
        <v>2144</v>
      </c>
      <c r="J711" t="s">
        <v>2147</v>
      </c>
      <c r="K711" t="s">
        <v>2155</v>
      </c>
      <c r="L711" s="3">
        <v>2</v>
      </c>
      <c r="M711" s="2">
        <v>741.77</v>
      </c>
      <c r="N711" s="5">
        <v>0.05</v>
      </c>
      <c r="O711" s="2">
        <v>1409.36</v>
      </c>
      <c r="P711" s="2">
        <v>460.08</v>
      </c>
      <c r="Q711" t="s">
        <v>2167</v>
      </c>
    </row>
    <row r="712" spans="1:17">
      <c r="A712" t="s">
        <v>727</v>
      </c>
      <c r="B712" s="1">
        <v>45830</v>
      </c>
      <c r="C712" t="s">
        <v>1591</v>
      </c>
      <c r="D712" t="s">
        <v>1889</v>
      </c>
      <c r="E712" t="s">
        <v>2115</v>
      </c>
      <c r="F712" t="s">
        <v>2117</v>
      </c>
      <c r="G712" t="s">
        <v>2121</v>
      </c>
      <c r="H712" t="s">
        <v>2132</v>
      </c>
      <c r="I712" t="s">
        <v>2142</v>
      </c>
      <c r="J712" t="s">
        <v>2147</v>
      </c>
      <c r="K712" t="s">
        <v>2157</v>
      </c>
      <c r="L712" s="3">
        <v>1</v>
      </c>
      <c r="M712" s="2">
        <v>13925.19</v>
      </c>
      <c r="N712" s="5">
        <v>0.15</v>
      </c>
      <c r="O712" s="2">
        <v>11836.41</v>
      </c>
      <c r="P712" s="2">
        <v>2761.54</v>
      </c>
      <c r="Q712" t="s">
        <v>2170</v>
      </c>
    </row>
    <row r="713" spans="1:17">
      <c r="A713" t="s">
        <v>728</v>
      </c>
      <c r="B713" s="1">
        <v>45830</v>
      </c>
      <c r="C713" t="s">
        <v>1606</v>
      </c>
      <c r="D713" t="s">
        <v>1904</v>
      </c>
      <c r="E713" t="s">
        <v>2114</v>
      </c>
      <c r="F713" t="s">
        <v>2116</v>
      </c>
      <c r="G713" t="s">
        <v>2127</v>
      </c>
      <c r="H713" t="s">
        <v>2140</v>
      </c>
      <c r="I713" t="s">
        <v>2143</v>
      </c>
      <c r="J713" t="s">
        <v>2146</v>
      </c>
      <c r="K713" t="s">
        <v>2164</v>
      </c>
      <c r="L713" s="3">
        <v>2</v>
      </c>
      <c r="M713" s="2">
        <v>18139.78</v>
      </c>
      <c r="N713" s="5">
        <v>0.05</v>
      </c>
      <c r="O713" s="2">
        <v>34465.58</v>
      </c>
      <c r="P713" s="2">
        <v>4694.05</v>
      </c>
      <c r="Q713" t="s">
        <v>2168</v>
      </c>
    </row>
    <row r="714" spans="1:17">
      <c r="A714" t="s">
        <v>729</v>
      </c>
      <c r="B714" s="1">
        <v>45830</v>
      </c>
      <c r="C714" t="s">
        <v>1586</v>
      </c>
      <c r="D714" t="s">
        <v>1884</v>
      </c>
      <c r="E714" t="s">
        <v>2114</v>
      </c>
      <c r="F714" t="s">
        <v>2116</v>
      </c>
      <c r="G714" t="s">
        <v>2127</v>
      </c>
      <c r="H714" t="s">
        <v>2138</v>
      </c>
      <c r="I714" t="s">
        <v>2144</v>
      </c>
      <c r="J714" t="s">
        <v>2152</v>
      </c>
      <c r="K714" t="s">
        <v>2166</v>
      </c>
      <c r="L714" s="3">
        <v>2</v>
      </c>
      <c r="M714" s="2">
        <v>602.22</v>
      </c>
      <c r="N714" s="5">
        <v>0</v>
      </c>
      <c r="O714" s="2">
        <v>1204.44</v>
      </c>
      <c r="P714" s="2">
        <v>385.28</v>
      </c>
      <c r="Q714" t="s">
        <v>2168</v>
      </c>
    </row>
    <row r="715" spans="1:17">
      <c r="A715" t="s">
        <v>730</v>
      </c>
      <c r="B715" s="1">
        <v>45830</v>
      </c>
      <c r="C715" t="s">
        <v>1766</v>
      </c>
      <c r="D715" t="s">
        <v>2064</v>
      </c>
      <c r="E715" t="s">
        <v>2114</v>
      </c>
      <c r="F715" t="s">
        <v>2116</v>
      </c>
      <c r="G715" t="s">
        <v>2127</v>
      </c>
      <c r="H715" t="s">
        <v>2138</v>
      </c>
      <c r="I715" t="s">
        <v>2142</v>
      </c>
      <c r="J715" t="s">
        <v>2145</v>
      </c>
      <c r="K715" t="s">
        <v>2165</v>
      </c>
      <c r="L715" s="3">
        <v>1</v>
      </c>
      <c r="M715" s="2">
        <v>6458.62</v>
      </c>
      <c r="N715" s="5">
        <v>0.1</v>
      </c>
      <c r="O715" s="2">
        <v>5812.76</v>
      </c>
      <c r="P715" s="2">
        <v>1243.29</v>
      </c>
      <c r="Q715" t="s">
        <v>2167</v>
      </c>
    </row>
    <row r="716" spans="1:17">
      <c r="A716" t="s">
        <v>731</v>
      </c>
      <c r="B716" s="1">
        <v>45830</v>
      </c>
      <c r="C716" t="s">
        <v>1719</v>
      </c>
      <c r="D716" t="s">
        <v>2017</v>
      </c>
      <c r="E716" t="s">
        <v>2114</v>
      </c>
      <c r="F716" t="s">
        <v>2116</v>
      </c>
      <c r="G716" t="s">
        <v>2127</v>
      </c>
      <c r="H716" t="s">
        <v>2140</v>
      </c>
      <c r="I716" t="s">
        <v>2144</v>
      </c>
      <c r="J716" t="s">
        <v>2147</v>
      </c>
      <c r="K716" t="s">
        <v>2155</v>
      </c>
      <c r="L716" s="3">
        <v>4</v>
      </c>
      <c r="M716" s="2">
        <v>776.71</v>
      </c>
      <c r="N716" s="5">
        <v>0</v>
      </c>
      <c r="O716" s="2">
        <v>3106.84</v>
      </c>
      <c r="P716" s="2">
        <v>609.45000000000005</v>
      </c>
      <c r="Q716" t="s">
        <v>2168</v>
      </c>
    </row>
    <row r="717" spans="1:17">
      <c r="A717" t="s">
        <v>732</v>
      </c>
      <c r="B717" s="1">
        <v>45830</v>
      </c>
      <c r="C717" t="s">
        <v>1566</v>
      </c>
      <c r="D717" t="s">
        <v>1864</v>
      </c>
      <c r="E717" t="s">
        <v>2114</v>
      </c>
      <c r="F717" t="s">
        <v>2119</v>
      </c>
      <c r="G717" t="s">
        <v>2129</v>
      </c>
      <c r="H717" t="s">
        <v>2139</v>
      </c>
      <c r="I717" t="s">
        <v>2144</v>
      </c>
      <c r="J717" t="s">
        <v>2152</v>
      </c>
      <c r="K717" t="s">
        <v>2162</v>
      </c>
      <c r="L717" s="3">
        <v>2</v>
      </c>
      <c r="M717" s="2">
        <v>340.44</v>
      </c>
      <c r="N717" s="5">
        <v>0.05</v>
      </c>
      <c r="O717" s="2">
        <v>646.84</v>
      </c>
      <c r="P717" s="2">
        <v>205.21</v>
      </c>
      <c r="Q717" t="s">
        <v>2168</v>
      </c>
    </row>
    <row r="718" spans="1:17">
      <c r="A718" t="s">
        <v>733</v>
      </c>
      <c r="B718" s="1">
        <v>45831</v>
      </c>
      <c r="C718" t="s">
        <v>1706</v>
      </c>
      <c r="D718" t="s">
        <v>2004</v>
      </c>
      <c r="E718" t="s">
        <v>2113</v>
      </c>
      <c r="F718" t="s">
        <v>2117</v>
      </c>
      <c r="G718" t="s">
        <v>2125</v>
      </c>
      <c r="H718" t="s">
        <v>2136</v>
      </c>
      <c r="I718" t="s">
        <v>2143</v>
      </c>
      <c r="J718" t="s">
        <v>2148</v>
      </c>
      <c r="K718" t="s">
        <v>2156</v>
      </c>
      <c r="L718" s="3">
        <v>4</v>
      </c>
      <c r="M718" s="2">
        <v>1257.74</v>
      </c>
      <c r="N718" s="5">
        <v>0.05</v>
      </c>
      <c r="O718" s="2">
        <v>4779.41</v>
      </c>
      <c r="P718" s="2">
        <v>835.78</v>
      </c>
      <c r="Q718" t="s">
        <v>2167</v>
      </c>
    </row>
    <row r="719" spans="1:17">
      <c r="A719" t="s">
        <v>734</v>
      </c>
      <c r="B719" s="1">
        <v>45831</v>
      </c>
      <c r="C719" t="s">
        <v>1719</v>
      </c>
      <c r="D719" t="s">
        <v>2017</v>
      </c>
      <c r="E719" t="s">
        <v>2113</v>
      </c>
      <c r="F719" t="s">
        <v>2118</v>
      </c>
      <c r="G719" t="s">
        <v>2126</v>
      </c>
      <c r="H719" t="s">
        <v>2137</v>
      </c>
      <c r="I719" t="s">
        <v>2142</v>
      </c>
      <c r="J719" t="s">
        <v>2151</v>
      </c>
      <c r="K719" t="s">
        <v>2160</v>
      </c>
      <c r="L719" s="3">
        <v>4</v>
      </c>
      <c r="M719" s="2">
        <v>8630.56</v>
      </c>
      <c r="N719" s="5">
        <v>0.2</v>
      </c>
      <c r="O719" s="2">
        <v>27617.79</v>
      </c>
      <c r="P719" s="2">
        <v>4318.43</v>
      </c>
      <c r="Q719" t="s">
        <v>2168</v>
      </c>
    </row>
    <row r="720" spans="1:17">
      <c r="A720" t="s">
        <v>735</v>
      </c>
      <c r="B720" s="1">
        <v>45831</v>
      </c>
      <c r="C720" t="s">
        <v>1537</v>
      </c>
      <c r="D720" t="s">
        <v>1835</v>
      </c>
      <c r="E720" t="s">
        <v>2113</v>
      </c>
      <c r="F720" t="s">
        <v>2119</v>
      </c>
      <c r="G720" t="s">
        <v>2129</v>
      </c>
      <c r="H720" t="s">
        <v>2139</v>
      </c>
      <c r="I720" t="s">
        <v>2144</v>
      </c>
      <c r="J720" t="s">
        <v>2152</v>
      </c>
      <c r="K720" t="s">
        <v>2166</v>
      </c>
      <c r="L720" s="3">
        <v>2</v>
      </c>
      <c r="M720" s="2">
        <v>623.67999999999995</v>
      </c>
      <c r="N720" s="5">
        <v>0</v>
      </c>
      <c r="O720" s="2">
        <v>1247.3599999999999</v>
      </c>
      <c r="P720" s="2">
        <v>249.11</v>
      </c>
      <c r="Q720" t="s">
        <v>2168</v>
      </c>
    </row>
    <row r="721" spans="1:17">
      <c r="A721" t="s">
        <v>736</v>
      </c>
      <c r="B721" s="1">
        <v>45831</v>
      </c>
      <c r="C721" t="s">
        <v>1542</v>
      </c>
      <c r="D721" t="s">
        <v>1840</v>
      </c>
      <c r="E721" t="s">
        <v>2113</v>
      </c>
      <c r="F721" t="s">
        <v>2117</v>
      </c>
      <c r="G721" t="s">
        <v>2123</v>
      </c>
      <c r="H721" t="s">
        <v>2134</v>
      </c>
      <c r="I721" t="s">
        <v>2143</v>
      </c>
      <c r="J721" t="s">
        <v>2146</v>
      </c>
      <c r="K721" t="s">
        <v>2154</v>
      </c>
      <c r="L721" s="3">
        <v>2</v>
      </c>
      <c r="M721" s="2">
        <v>40728.61</v>
      </c>
      <c r="N721" s="5">
        <v>0.2</v>
      </c>
      <c r="O721" s="2">
        <v>65165.78</v>
      </c>
      <c r="P721" s="2">
        <v>10832.88</v>
      </c>
      <c r="Q721" t="s">
        <v>2169</v>
      </c>
    </row>
    <row r="722" spans="1:17">
      <c r="A722" t="s">
        <v>737</v>
      </c>
      <c r="B722" s="1">
        <v>45832</v>
      </c>
      <c r="C722" t="s">
        <v>1702</v>
      </c>
      <c r="D722" t="s">
        <v>2000</v>
      </c>
      <c r="E722" t="s">
        <v>2114</v>
      </c>
      <c r="F722" t="s">
        <v>2116</v>
      </c>
      <c r="G722" t="s">
        <v>2127</v>
      </c>
      <c r="H722" t="s">
        <v>2138</v>
      </c>
      <c r="I722" t="s">
        <v>2144</v>
      </c>
      <c r="J722" t="s">
        <v>2150</v>
      </c>
      <c r="K722" t="s">
        <v>2159</v>
      </c>
      <c r="L722" s="3">
        <v>1</v>
      </c>
      <c r="M722" s="2">
        <v>437.11</v>
      </c>
      <c r="N722" s="5">
        <v>0.1</v>
      </c>
      <c r="O722" s="2">
        <v>393.4</v>
      </c>
      <c r="P722" s="2">
        <v>89.07</v>
      </c>
      <c r="Q722" t="s">
        <v>2169</v>
      </c>
    </row>
    <row r="723" spans="1:17">
      <c r="A723" t="s">
        <v>738</v>
      </c>
      <c r="B723" s="1">
        <v>45832</v>
      </c>
      <c r="C723" t="s">
        <v>1664</v>
      </c>
      <c r="D723" t="s">
        <v>1962</v>
      </c>
      <c r="E723" t="s">
        <v>2114</v>
      </c>
      <c r="F723" t="s">
        <v>2117</v>
      </c>
      <c r="G723" t="s">
        <v>2125</v>
      </c>
      <c r="H723" t="s">
        <v>2136</v>
      </c>
      <c r="I723" t="s">
        <v>2143</v>
      </c>
      <c r="J723" t="s">
        <v>2146</v>
      </c>
      <c r="K723" t="s">
        <v>2154</v>
      </c>
      <c r="L723" s="3">
        <v>2</v>
      </c>
      <c r="M723" s="2">
        <v>43569.02</v>
      </c>
      <c r="N723" s="5">
        <v>0.05</v>
      </c>
      <c r="O723" s="2">
        <v>82781.14</v>
      </c>
      <c r="P723" s="2">
        <v>14518.02</v>
      </c>
      <c r="Q723" t="s">
        <v>2168</v>
      </c>
    </row>
    <row r="724" spans="1:17">
      <c r="A724" t="s">
        <v>739</v>
      </c>
      <c r="B724" s="1">
        <v>45832</v>
      </c>
      <c r="C724" t="s">
        <v>1753</v>
      </c>
      <c r="D724" t="s">
        <v>2051</v>
      </c>
      <c r="E724" t="s">
        <v>2115</v>
      </c>
      <c r="F724" t="s">
        <v>2118</v>
      </c>
      <c r="G724" t="s">
        <v>2128</v>
      </c>
      <c r="H724" t="s">
        <v>2128</v>
      </c>
      <c r="I724" t="s">
        <v>2142</v>
      </c>
      <c r="J724" t="s">
        <v>2145</v>
      </c>
      <c r="K724" t="s">
        <v>2153</v>
      </c>
      <c r="L724" s="3">
        <v>1</v>
      </c>
      <c r="M724" s="2">
        <v>12108.71</v>
      </c>
      <c r="N724" s="5">
        <v>0.05</v>
      </c>
      <c r="O724" s="2">
        <v>11503.27</v>
      </c>
      <c r="P724" s="2">
        <v>2423.7800000000002</v>
      </c>
      <c r="Q724" t="s">
        <v>2168</v>
      </c>
    </row>
    <row r="725" spans="1:17">
      <c r="A725" t="s">
        <v>740</v>
      </c>
      <c r="B725" s="1">
        <v>45832</v>
      </c>
      <c r="C725" t="s">
        <v>1595</v>
      </c>
      <c r="D725" t="s">
        <v>1893</v>
      </c>
      <c r="E725" t="s">
        <v>2113</v>
      </c>
      <c r="F725" t="s">
        <v>2119</v>
      </c>
      <c r="G725" t="s">
        <v>2130</v>
      </c>
      <c r="H725" t="s">
        <v>2141</v>
      </c>
      <c r="I725" t="s">
        <v>2142</v>
      </c>
      <c r="J725" t="s">
        <v>2145</v>
      </c>
      <c r="K725" t="s">
        <v>2153</v>
      </c>
      <c r="L725" s="3">
        <v>5</v>
      </c>
      <c r="M725" s="2">
        <v>11523.91</v>
      </c>
      <c r="N725" s="5">
        <v>0</v>
      </c>
      <c r="O725" s="2">
        <v>57619.55</v>
      </c>
      <c r="P725" s="2">
        <v>7394.55</v>
      </c>
      <c r="Q725" t="s">
        <v>2169</v>
      </c>
    </row>
    <row r="726" spans="1:17">
      <c r="A726" t="s">
        <v>741</v>
      </c>
      <c r="B726" s="1">
        <v>45833</v>
      </c>
      <c r="C726" t="s">
        <v>1723</v>
      </c>
      <c r="D726" t="s">
        <v>2021</v>
      </c>
      <c r="E726" t="s">
        <v>2114</v>
      </c>
      <c r="F726" t="s">
        <v>2119</v>
      </c>
      <c r="G726" t="s">
        <v>2130</v>
      </c>
      <c r="H726" t="s">
        <v>2141</v>
      </c>
      <c r="I726" t="s">
        <v>2143</v>
      </c>
      <c r="J726" t="s">
        <v>2148</v>
      </c>
      <c r="K726" t="s">
        <v>2156</v>
      </c>
      <c r="L726" s="3">
        <v>1</v>
      </c>
      <c r="M726" s="2">
        <v>1233.04</v>
      </c>
      <c r="N726" s="5">
        <v>0.15</v>
      </c>
      <c r="O726" s="2">
        <v>1048.08</v>
      </c>
      <c r="P726" s="2">
        <v>104.64</v>
      </c>
      <c r="Q726" t="s">
        <v>2168</v>
      </c>
    </row>
    <row r="727" spans="1:17">
      <c r="A727" t="s">
        <v>742</v>
      </c>
      <c r="B727" s="1">
        <v>45833</v>
      </c>
      <c r="C727" t="s">
        <v>1798</v>
      </c>
      <c r="D727" t="s">
        <v>2096</v>
      </c>
      <c r="E727" t="s">
        <v>2113</v>
      </c>
      <c r="F727" t="s">
        <v>2118</v>
      </c>
      <c r="G727" t="s">
        <v>2126</v>
      </c>
      <c r="H727" t="s">
        <v>2137</v>
      </c>
      <c r="I727" t="s">
        <v>2142</v>
      </c>
      <c r="J727" t="s">
        <v>2145</v>
      </c>
      <c r="K727" t="s">
        <v>2165</v>
      </c>
      <c r="L727" s="3">
        <v>2</v>
      </c>
      <c r="M727" s="2">
        <v>6252.45</v>
      </c>
      <c r="N727" s="5">
        <v>0.05</v>
      </c>
      <c r="O727" s="2">
        <v>11879.65</v>
      </c>
      <c r="P727" s="2">
        <v>1816.86</v>
      </c>
      <c r="Q727" t="s">
        <v>2170</v>
      </c>
    </row>
    <row r="728" spans="1:17">
      <c r="A728" t="s">
        <v>743</v>
      </c>
      <c r="B728" s="1">
        <v>45833</v>
      </c>
      <c r="C728" t="s">
        <v>1643</v>
      </c>
      <c r="D728" t="s">
        <v>1941</v>
      </c>
      <c r="E728" t="s">
        <v>2114</v>
      </c>
      <c r="F728" t="s">
        <v>2118</v>
      </c>
      <c r="G728" t="s">
        <v>2128</v>
      </c>
      <c r="H728" t="s">
        <v>2128</v>
      </c>
      <c r="I728" t="s">
        <v>2143</v>
      </c>
      <c r="J728" t="s">
        <v>2146</v>
      </c>
      <c r="K728" t="s">
        <v>2164</v>
      </c>
      <c r="L728" s="3">
        <v>1</v>
      </c>
      <c r="M728" s="2">
        <v>18439.509999999998</v>
      </c>
      <c r="N728" s="5">
        <v>0.05</v>
      </c>
      <c r="O728" s="2">
        <v>17517.53</v>
      </c>
      <c r="P728" s="2">
        <v>3014.43</v>
      </c>
      <c r="Q728" t="s">
        <v>2170</v>
      </c>
    </row>
    <row r="729" spans="1:17">
      <c r="A729" t="s">
        <v>744</v>
      </c>
      <c r="B729" s="1">
        <v>45834</v>
      </c>
      <c r="C729" t="s">
        <v>1795</v>
      </c>
      <c r="D729" t="s">
        <v>2093</v>
      </c>
      <c r="E729" t="s">
        <v>2114</v>
      </c>
      <c r="F729" t="s">
        <v>2119</v>
      </c>
      <c r="G729" t="s">
        <v>2129</v>
      </c>
      <c r="H729" t="s">
        <v>2139</v>
      </c>
      <c r="I729" t="s">
        <v>2143</v>
      </c>
      <c r="J729" t="s">
        <v>2149</v>
      </c>
      <c r="K729" t="s">
        <v>2163</v>
      </c>
      <c r="L729" s="3">
        <v>4</v>
      </c>
      <c r="M729" s="2">
        <v>66878.06</v>
      </c>
      <c r="N729" s="5">
        <v>0.05</v>
      </c>
      <c r="O729" s="2">
        <v>254136.63</v>
      </c>
      <c r="P729" s="2">
        <v>49414.17</v>
      </c>
      <c r="Q729" t="s">
        <v>2169</v>
      </c>
    </row>
    <row r="730" spans="1:17">
      <c r="A730" t="s">
        <v>745</v>
      </c>
      <c r="B730" s="1">
        <v>45834</v>
      </c>
      <c r="C730" t="s">
        <v>1779</v>
      </c>
      <c r="D730" t="s">
        <v>2077</v>
      </c>
      <c r="E730" t="s">
        <v>2115</v>
      </c>
      <c r="F730" t="s">
        <v>2117</v>
      </c>
      <c r="G730" t="s">
        <v>2121</v>
      </c>
      <c r="H730" t="s">
        <v>2132</v>
      </c>
      <c r="I730" t="s">
        <v>2143</v>
      </c>
      <c r="J730" t="s">
        <v>2146</v>
      </c>
      <c r="K730" t="s">
        <v>2154</v>
      </c>
      <c r="L730" s="3">
        <v>2</v>
      </c>
      <c r="M730" s="2">
        <v>41892.17</v>
      </c>
      <c r="N730" s="5">
        <v>0.1</v>
      </c>
      <c r="O730" s="2">
        <v>75405.91</v>
      </c>
      <c r="P730" s="2">
        <v>7687.36</v>
      </c>
      <c r="Q730" t="s">
        <v>2170</v>
      </c>
    </row>
    <row r="731" spans="1:17">
      <c r="A731" t="s">
        <v>746</v>
      </c>
      <c r="B731" s="1">
        <v>45834</v>
      </c>
      <c r="C731" t="s">
        <v>1541</v>
      </c>
      <c r="D731" t="s">
        <v>1839</v>
      </c>
      <c r="E731" t="s">
        <v>2114</v>
      </c>
      <c r="F731" t="s">
        <v>2119</v>
      </c>
      <c r="G731" t="s">
        <v>2129</v>
      </c>
      <c r="H731" t="s">
        <v>2139</v>
      </c>
      <c r="I731" t="s">
        <v>2143</v>
      </c>
      <c r="J731" t="s">
        <v>2148</v>
      </c>
      <c r="K731" t="s">
        <v>2161</v>
      </c>
      <c r="L731" s="3">
        <v>1</v>
      </c>
      <c r="M731" s="2">
        <v>1834.64</v>
      </c>
      <c r="N731" s="5">
        <v>0.1</v>
      </c>
      <c r="O731" s="2">
        <v>1651.18</v>
      </c>
      <c r="P731" s="2">
        <v>228.08</v>
      </c>
      <c r="Q731" t="s">
        <v>2169</v>
      </c>
    </row>
    <row r="732" spans="1:17">
      <c r="A732" t="s">
        <v>747</v>
      </c>
      <c r="B732" s="1">
        <v>45834</v>
      </c>
      <c r="C732" t="s">
        <v>1686</v>
      </c>
      <c r="D732" t="s">
        <v>1984</v>
      </c>
      <c r="E732" t="s">
        <v>2115</v>
      </c>
      <c r="F732" t="s">
        <v>2119</v>
      </c>
      <c r="G732" t="s">
        <v>2124</v>
      </c>
      <c r="H732" t="s">
        <v>2135</v>
      </c>
      <c r="I732" t="s">
        <v>2143</v>
      </c>
      <c r="J732" t="s">
        <v>2149</v>
      </c>
      <c r="K732" t="s">
        <v>2163</v>
      </c>
      <c r="L732" s="3">
        <v>1</v>
      </c>
      <c r="M732" s="2">
        <v>67519.02</v>
      </c>
      <c r="N732" s="5">
        <v>0.05</v>
      </c>
      <c r="O732" s="2">
        <v>64143.07</v>
      </c>
      <c r="P732" s="2">
        <v>10237.66</v>
      </c>
      <c r="Q732" t="s">
        <v>2168</v>
      </c>
    </row>
    <row r="733" spans="1:17">
      <c r="A733" t="s">
        <v>748</v>
      </c>
      <c r="B733" s="1">
        <v>45835</v>
      </c>
      <c r="C733" t="s">
        <v>1799</v>
      </c>
      <c r="D733" t="s">
        <v>2097</v>
      </c>
      <c r="E733" t="s">
        <v>2115</v>
      </c>
      <c r="F733" t="s">
        <v>2118</v>
      </c>
      <c r="G733" t="s">
        <v>2122</v>
      </c>
      <c r="H733" t="s">
        <v>2133</v>
      </c>
      <c r="I733" t="s">
        <v>2142</v>
      </c>
      <c r="J733" t="s">
        <v>2145</v>
      </c>
      <c r="K733" t="s">
        <v>2153</v>
      </c>
      <c r="L733" s="3">
        <v>2</v>
      </c>
      <c r="M733" s="2">
        <v>12021.91</v>
      </c>
      <c r="N733" s="5">
        <v>0</v>
      </c>
      <c r="O733" s="2">
        <v>24043.82</v>
      </c>
      <c r="P733" s="2">
        <v>5182.9799999999996</v>
      </c>
      <c r="Q733" t="s">
        <v>2169</v>
      </c>
    </row>
    <row r="734" spans="1:17">
      <c r="A734" t="s">
        <v>749</v>
      </c>
      <c r="B734" s="1">
        <v>45835</v>
      </c>
      <c r="C734" t="s">
        <v>1659</v>
      </c>
      <c r="D734" t="s">
        <v>1957</v>
      </c>
      <c r="E734" t="s">
        <v>2113</v>
      </c>
      <c r="F734" t="s">
        <v>2116</v>
      </c>
      <c r="G734" t="s">
        <v>2120</v>
      </c>
      <c r="H734" t="s">
        <v>2131</v>
      </c>
      <c r="I734" t="s">
        <v>2144</v>
      </c>
      <c r="J734" t="s">
        <v>2152</v>
      </c>
      <c r="K734" t="s">
        <v>2166</v>
      </c>
      <c r="L734" s="3">
        <v>4</v>
      </c>
      <c r="M734" s="2">
        <v>591.41999999999996</v>
      </c>
      <c r="N734" s="5">
        <v>0.1</v>
      </c>
      <c r="O734" s="2">
        <v>2129.11</v>
      </c>
      <c r="P734" s="2">
        <v>480.42</v>
      </c>
      <c r="Q734" t="s">
        <v>2167</v>
      </c>
    </row>
    <row r="735" spans="1:17">
      <c r="A735" t="s">
        <v>750</v>
      </c>
      <c r="B735" s="1">
        <v>45835</v>
      </c>
      <c r="C735" t="s">
        <v>1524</v>
      </c>
      <c r="D735" t="s">
        <v>1822</v>
      </c>
      <c r="E735" t="s">
        <v>2115</v>
      </c>
      <c r="F735" t="s">
        <v>2117</v>
      </c>
      <c r="G735" t="s">
        <v>2125</v>
      </c>
      <c r="H735" t="s">
        <v>2136</v>
      </c>
      <c r="I735" t="s">
        <v>2143</v>
      </c>
      <c r="J735" t="s">
        <v>2146</v>
      </c>
      <c r="K735" t="s">
        <v>2164</v>
      </c>
      <c r="L735" s="3">
        <v>1</v>
      </c>
      <c r="M735" s="2">
        <v>18691.46</v>
      </c>
      <c r="N735" s="5">
        <v>0</v>
      </c>
      <c r="O735" s="2">
        <v>18691.46</v>
      </c>
      <c r="P735" s="2">
        <v>3453.07</v>
      </c>
      <c r="Q735" t="s">
        <v>2169</v>
      </c>
    </row>
    <row r="736" spans="1:17">
      <c r="A736" t="s">
        <v>751</v>
      </c>
      <c r="B736" s="1">
        <v>45835</v>
      </c>
      <c r="C736" t="s">
        <v>1725</v>
      </c>
      <c r="D736" t="s">
        <v>2023</v>
      </c>
      <c r="E736" t="s">
        <v>2114</v>
      </c>
      <c r="F736" t="s">
        <v>2118</v>
      </c>
      <c r="G736" t="s">
        <v>2128</v>
      </c>
      <c r="H736" t="s">
        <v>2128</v>
      </c>
      <c r="I736" t="s">
        <v>2142</v>
      </c>
      <c r="J736" t="s">
        <v>2147</v>
      </c>
      <c r="K736" t="s">
        <v>2157</v>
      </c>
      <c r="L736" s="3">
        <v>4</v>
      </c>
      <c r="M736" s="2">
        <v>15060.52</v>
      </c>
      <c r="N736" s="5">
        <v>0</v>
      </c>
      <c r="O736" s="2">
        <v>60242.080000000002</v>
      </c>
      <c r="P736" s="2">
        <v>14263.13</v>
      </c>
      <c r="Q736" t="s">
        <v>2169</v>
      </c>
    </row>
    <row r="737" spans="1:17">
      <c r="A737" t="s">
        <v>752</v>
      </c>
      <c r="B737" s="1">
        <v>45835</v>
      </c>
      <c r="C737" t="s">
        <v>1762</v>
      </c>
      <c r="D737" t="s">
        <v>2060</v>
      </c>
      <c r="E737" t="s">
        <v>2114</v>
      </c>
      <c r="F737" t="s">
        <v>2117</v>
      </c>
      <c r="G737" t="s">
        <v>2123</v>
      </c>
      <c r="H737" t="s">
        <v>2134</v>
      </c>
      <c r="I737" t="s">
        <v>2143</v>
      </c>
      <c r="J737" t="s">
        <v>2148</v>
      </c>
      <c r="K737" t="s">
        <v>2161</v>
      </c>
      <c r="L737" s="3">
        <v>4</v>
      </c>
      <c r="M737" s="2">
        <v>1821.55</v>
      </c>
      <c r="N737" s="5">
        <v>0</v>
      </c>
      <c r="O737" s="2">
        <v>7286.2</v>
      </c>
      <c r="P737" s="2">
        <v>1156.17</v>
      </c>
      <c r="Q737" t="s">
        <v>2167</v>
      </c>
    </row>
    <row r="738" spans="1:17">
      <c r="A738" t="s">
        <v>753</v>
      </c>
      <c r="B738" s="1">
        <v>45835</v>
      </c>
      <c r="C738" t="s">
        <v>1659</v>
      </c>
      <c r="D738" t="s">
        <v>1957</v>
      </c>
      <c r="E738" t="s">
        <v>2114</v>
      </c>
      <c r="F738" t="s">
        <v>2119</v>
      </c>
      <c r="G738" t="s">
        <v>2129</v>
      </c>
      <c r="H738" t="s">
        <v>2139</v>
      </c>
      <c r="I738" t="s">
        <v>2142</v>
      </c>
      <c r="J738" t="s">
        <v>2147</v>
      </c>
      <c r="K738" t="s">
        <v>2157</v>
      </c>
      <c r="L738" s="3">
        <v>1</v>
      </c>
      <c r="M738" s="2">
        <v>14714.12</v>
      </c>
      <c r="N738" s="5">
        <v>0</v>
      </c>
      <c r="O738" s="2">
        <v>14714.12</v>
      </c>
      <c r="P738" s="2">
        <v>2758.61</v>
      </c>
      <c r="Q738" t="s">
        <v>2167</v>
      </c>
    </row>
    <row r="739" spans="1:17">
      <c r="A739" t="s">
        <v>754</v>
      </c>
      <c r="B739" s="1">
        <v>45836</v>
      </c>
      <c r="C739" t="s">
        <v>1791</v>
      </c>
      <c r="D739" t="s">
        <v>2089</v>
      </c>
      <c r="E739" t="s">
        <v>2114</v>
      </c>
      <c r="F739" t="s">
        <v>2118</v>
      </c>
      <c r="G739" t="s">
        <v>2122</v>
      </c>
      <c r="H739" t="s">
        <v>2133</v>
      </c>
      <c r="I739" t="s">
        <v>2143</v>
      </c>
      <c r="J739" t="s">
        <v>2146</v>
      </c>
      <c r="K739" t="s">
        <v>2154</v>
      </c>
      <c r="L739" s="3">
        <v>4</v>
      </c>
      <c r="M739" s="2">
        <v>43610.97</v>
      </c>
      <c r="N739" s="5">
        <v>0.2</v>
      </c>
      <c r="O739" s="2">
        <v>139555.1</v>
      </c>
      <c r="P739" s="2">
        <v>12305.78</v>
      </c>
      <c r="Q739" t="s">
        <v>2167</v>
      </c>
    </row>
    <row r="740" spans="1:17">
      <c r="A740" t="s">
        <v>755</v>
      </c>
      <c r="B740" s="1">
        <v>45836</v>
      </c>
      <c r="C740" t="s">
        <v>1748</v>
      </c>
      <c r="D740" t="s">
        <v>2046</v>
      </c>
      <c r="E740" t="s">
        <v>2114</v>
      </c>
      <c r="F740" t="s">
        <v>2116</v>
      </c>
      <c r="G740" t="s">
        <v>2127</v>
      </c>
      <c r="H740" t="s">
        <v>2138</v>
      </c>
      <c r="I740" t="s">
        <v>2142</v>
      </c>
      <c r="J740" t="s">
        <v>2147</v>
      </c>
      <c r="K740" t="s">
        <v>2157</v>
      </c>
      <c r="L740" s="3">
        <v>1</v>
      </c>
      <c r="M740" s="2">
        <v>13856.75</v>
      </c>
      <c r="N740" s="5">
        <v>0.15</v>
      </c>
      <c r="O740" s="2">
        <v>11778.24</v>
      </c>
      <c r="P740" s="2">
        <v>1709.42</v>
      </c>
      <c r="Q740" t="s">
        <v>2170</v>
      </c>
    </row>
    <row r="741" spans="1:17">
      <c r="A741" t="s">
        <v>756</v>
      </c>
      <c r="B741" s="1">
        <v>45836</v>
      </c>
      <c r="C741" t="s">
        <v>1748</v>
      </c>
      <c r="D741" t="s">
        <v>2046</v>
      </c>
      <c r="E741" t="s">
        <v>2114</v>
      </c>
      <c r="F741" t="s">
        <v>2119</v>
      </c>
      <c r="G741" t="s">
        <v>2124</v>
      </c>
      <c r="H741" t="s">
        <v>2135</v>
      </c>
      <c r="I741" t="s">
        <v>2144</v>
      </c>
      <c r="J741" t="s">
        <v>2152</v>
      </c>
      <c r="K741" t="s">
        <v>2166</v>
      </c>
      <c r="L741" s="3">
        <v>3</v>
      </c>
      <c r="M741" s="2">
        <v>626.55999999999995</v>
      </c>
      <c r="N741" s="5">
        <v>0.05</v>
      </c>
      <c r="O741" s="2">
        <v>1785.7</v>
      </c>
      <c r="P741" s="2">
        <v>537.94000000000005</v>
      </c>
      <c r="Q741" t="s">
        <v>2170</v>
      </c>
    </row>
    <row r="742" spans="1:17">
      <c r="A742" t="s">
        <v>757</v>
      </c>
      <c r="B742" s="1">
        <v>45836</v>
      </c>
      <c r="C742" t="s">
        <v>1746</v>
      </c>
      <c r="D742" t="s">
        <v>2044</v>
      </c>
      <c r="E742" t="s">
        <v>2113</v>
      </c>
      <c r="F742" t="s">
        <v>2118</v>
      </c>
      <c r="G742" t="s">
        <v>2126</v>
      </c>
      <c r="H742" t="s">
        <v>2137</v>
      </c>
      <c r="I742" t="s">
        <v>2142</v>
      </c>
      <c r="J742" t="s">
        <v>2145</v>
      </c>
      <c r="K742" t="s">
        <v>2153</v>
      </c>
      <c r="L742" s="3">
        <v>1</v>
      </c>
      <c r="M742" s="2">
        <v>12308.58</v>
      </c>
      <c r="N742" s="5">
        <v>0</v>
      </c>
      <c r="O742" s="2">
        <v>12308.58</v>
      </c>
      <c r="P742" s="2">
        <v>3417.27</v>
      </c>
      <c r="Q742" t="s">
        <v>2167</v>
      </c>
    </row>
    <row r="743" spans="1:17">
      <c r="A743" t="s">
        <v>758</v>
      </c>
      <c r="B743" s="1">
        <v>45836</v>
      </c>
      <c r="C743" t="s">
        <v>1638</v>
      </c>
      <c r="D743" t="s">
        <v>1936</v>
      </c>
      <c r="E743" t="s">
        <v>2115</v>
      </c>
      <c r="F743" t="s">
        <v>2117</v>
      </c>
      <c r="G743" t="s">
        <v>2125</v>
      </c>
      <c r="H743" t="s">
        <v>2136</v>
      </c>
      <c r="I743" t="s">
        <v>2144</v>
      </c>
      <c r="J743" t="s">
        <v>2152</v>
      </c>
      <c r="K743" t="s">
        <v>2162</v>
      </c>
      <c r="L743" s="3">
        <v>2</v>
      </c>
      <c r="M743" s="2">
        <v>352.53</v>
      </c>
      <c r="N743" s="5">
        <v>0.1</v>
      </c>
      <c r="O743" s="2">
        <v>634.54999999999995</v>
      </c>
      <c r="P743" s="2">
        <v>193.55</v>
      </c>
      <c r="Q743" t="s">
        <v>2168</v>
      </c>
    </row>
    <row r="744" spans="1:17">
      <c r="A744" t="s">
        <v>759</v>
      </c>
      <c r="B744" s="1">
        <v>45836</v>
      </c>
      <c r="C744" t="s">
        <v>1585</v>
      </c>
      <c r="D744" t="s">
        <v>1883</v>
      </c>
      <c r="E744" t="s">
        <v>2114</v>
      </c>
      <c r="F744" t="s">
        <v>2116</v>
      </c>
      <c r="G744" t="s">
        <v>2127</v>
      </c>
      <c r="H744" t="s">
        <v>2138</v>
      </c>
      <c r="I744" t="s">
        <v>2143</v>
      </c>
      <c r="J744" t="s">
        <v>2146</v>
      </c>
      <c r="K744" t="s">
        <v>2164</v>
      </c>
      <c r="L744" s="3">
        <v>2</v>
      </c>
      <c r="M744" s="2">
        <v>18190.36</v>
      </c>
      <c r="N744" s="5">
        <v>0.05</v>
      </c>
      <c r="O744" s="2">
        <v>34561.68</v>
      </c>
      <c r="P744" s="2">
        <v>6881.04</v>
      </c>
      <c r="Q744" t="s">
        <v>2167</v>
      </c>
    </row>
    <row r="745" spans="1:17">
      <c r="A745" t="s">
        <v>760</v>
      </c>
      <c r="B745" s="1">
        <v>45836</v>
      </c>
      <c r="C745" t="s">
        <v>1556</v>
      </c>
      <c r="D745" t="s">
        <v>1854</v>
      </c>
      <c r="E745" t="s">
        <v>2113</v>
      </c>
      <c r="F745" t="s">
        <v>2116</v>
      </c>
      <c r="G745" t="s">
        <v>2120</v>
      </c>
      <c r="H745" t="s">
        <v>2131</v>
      </c>
      <c r="I745" t="s">
        <v>2144</v>
      </c>
      <c r="J745" t="s">
        <v>2152</v>
      </c>
      <c r="K745" t="s">
        <v>2162</v>
      </c>
      <c r="L745" s="3">
        <v>2</v>
      </c>
      <c r="M745" s="2">
        <v>356.27</v>
      </c>
      <c r="N745" s="5">
        <v>0</v>
      </c>
      <c r="O745" s="2">
        <v>712.54</v>
      </c>
      <c r="P745" s="2">
        <v>231.33</v>
      </c>
      <c r="Q745" t="s">
        <v>2168</v>
      </c>
    </row>
    <row r="746" spans="1:17">
      <c r="A746" t="s">
        <v>761</v>
      </c>
      <c r="B746" s="1">
        <v>45837</v>
      </c>
      <c r="C746" t="s">
        <v>1703</v>
      </c>
      <c r="D746" t="s">
        <v>2001</v>
      </c>
      <c r="E746" t="s">
        <v>2114</v>
      </c>
      <c r="F746" t="s">
        <v>2117</v>
      </c>
      <c r="G746" t="s">
        <v>2121</v>
      </c>
      <c r="H746" t="s">
        <v>2132</v>
      </c>
      <c r="I746" t="s">
        <v>2144</v>
      </c>
      <c r="J746" t="s">
        <v>2150</v>
      </c>
      <c r="K746" t="s">
        <v>2159</v>
      </c>
      <c r="L746" s="3">
        <v>2</v>
      </c>
      <c r="M746" s="2">
        <v>467.12</v>
      </c>
      <c r="N746" s="5">
        <v>0</v>
      </c>
      <c r="O746" s="2">
        <v>934.24</v>
      </c>
      <c r="P746" s="2">
        <v>149.76</v>
      </c>
      <c r="Q746" t="s">
        <v>2170</v>
      </c>
    </row>
    <row r="747" spans="1:17">
      <c r="A747" t="s">
        <v>762</v>
      </c>
      <c r="B747" s="1">
        <v>45837</v>
      </c>
      <c r="C747" t="s">
        <v>1609</v>
      </c>
      <c r="D747" t="s">
        <v>1907</v>
      </c>
      <c r="E747" t="s">
        <v>2114</v>
      </c>
      <c r="F747" t="s">
        <v>2116</v>
      </c>
      <c r="G747" t="s">
        <v>2127</v>
      </c>
      <c r="H747" t="s">
        <v>2138</v>
      </c>
      <c r="I747" t="s">
        <v>2144</v>
      </c>
      <c r="J747" t="s">
        <v>2150</v>
      </c>
      <c r="K747" t="s">
        <v>2159</v>
      </c>
      <c r="L747" s="3">
        <v>2</v>
      </c>
      <c r="M747" s="2">
        <v>429.66</v>
      </c>
      <c r="N747" s="5">
        <v>0.1</v>
      </c>
      <c r="O747" s="2">
        <v>773.39</v>
      </c>
      <c r="P747" s="2">
        <v>237.94</v>
      </c>
      <c r="Q747" t="s">
        <v>2168</v>
      </c>
    </row>
    <row r="748" spans="1:17">
      <c r="A748" t="s">
        <v>763</v>
      </c>
      <c r="B748" s="1">
        <v>45837</v>
      </c>
      <c r="C748" t="s">
        <v>1520</v>
      </c>
      <c r="D748" t="s">
        <v>1818</v>
      </c>
      <c r="E748" t="s">
        <v>2114</v>
      </c>
      <c r="F748" t="s">
        <v>2117</v>
      </c>
      <c r="G748" t="s">
        <v>2121</v>
      </c>
      <c r="H748" t="s">
        <v>2132</v>
      </c>
      <c r="I748" t="s">
        <v>2143</v>
      </c>
      <c r="J748" t="s">
        <v>2146</v>
      </c>
      <c r="K748" t="s">
        <v>2154</v>
      </c>
      <c r="L748" s="3">
        <v>4</v>
      </c>
      <c r="M748" s="2">
        <v>43043.26</v>
      </c>
      <c r="N748" s="5">
        <v>0</v>
      </c>
      <c r="O748" s="2">
        <v>172173.04</v>
      </c>
      <c r="P748" s="2">
        <v>32063.99</v>
      </c>
      <c r="Q748" t="s">
        <v>2167</v>
      </c>
    </row>
    <row r="749" spans="1:17">
      <c r="A749" t="s">
        <v>764</v>
      </c>
      <c r="B749" s="1">
        <v>45837</v>
      </c>
      <c r="C749" t="s">
        <v>1800</v>
      </c>
      <c r="D749" t="s">
        <v>2098</v>
      </c>
      <c r="E749" t="s">
        <v>2115</v>
      </c>
      <c r="F749" t="s">
        <v>2118</v>
      </c>
      <c r="G749" t="s">
        <v>2122</v>
      </c>
      <c r="H749" t="s">
        <v>2133</v>
      </c>
      <c r="I749" t="s">
        <v>2143</v>
      </c>
      <c r="J749" t="s">
        <v>2149</v>
      </c>
      <c r="K749" t="s">
        <v>2163</v>
      </c>
      <c r="L749" s="3">
        <v>1</v>
      </c>
      <c r="M749" s="2">
        <v>64633.91</v>
      </c>
      <c r="N749" s="5">
        <v>0</v>
      </c>
      <c r="O749" s="2">
        <v>64633.91</v>
      </c>
      <c r="P749" s="2">
        <v>12867.74</v>
      </c>
      <c r="Q749" t="s">
        <v>2169</v>
      </c>
    </row>
    <row r="750" spans="1:17">
      <c r="A750" t="s">
        <v>765</v>
      </c>
      <c r="B750" s="1">
        <v>45837</v>
      </c>
      <c r="C750" t="s">
        <v>1705</v>
      </c>
      <c r="D750" t="s">
        <v>2003</v>
      </c>
      <c r="E750" t="s">
        <v>2114</v>
      </c>
      <c r="F750" t="s">
        <v>2118</v>
      </c>
      <c r="G750" t="s">
        <v>2126</v>
      </c>
      <c r="H750" t="s">
        <v>2137</v>
      </c>
      <c r="I750" t="s">
        <v>2143</v>
      </c>
      <c r="J750" t="s">
        <v>2149</v>
      </c>
      <c r="K750" t="s">
        <v>2158</v>
      </c>
      <c r="L750" s="3">
        <v>1</v>
      </c>
      <c r="M750" s="2">
        <v>47279.34</v>
      </c>
      <c r="N750" s="5">
        <v>0.05</v>
      </c>
      <c r="O750" s="2">
        <v>44915.37</v>
      </c>
      <c r="P750" s="2">
        <v>7616.18</v>
      </c>
      <c r="Q750" t="s">
        <v>2170</v>
      </c>
    </row>
    <row r="751" spans="1:17">
      <c r="A751" t="s">
        <v>766</v>
      </c>
      <c r="B751" s="1">
        <v>45838</v>
      </c>
      <c r="C751" t="s">
        <v>1657</v>
      </c>
      <c r="D751" t="s">
        <v>1955</v>
      </c>
      <c r="E751" t="s">
        <v>2113</v>
      </c>
      <c r="F751" t="s">
        <v>2119</v>
      </c>
      <c r="G751" t="s">
        <v>2130</v>
      </c>
      <c r="H751" t="s">
        <v>2141</v>
      </c>
      <c r="I751" t="s">
        <v>2143</v>
      </c>
      <c r="J751" t="s">
        <v>2148</v>
      </c>
      <c r="K751" t="s">
        <v>2161</v>
      </c>
      <c r="L751" s="3">
        <v>5</v>
      </c>
      <c r="M751" s="2">
        <v>1876.17</v>
      </c>
      <c r="N751" s="5">
        <v>0.05</v>
      </c>
      <c r="O751" s="2">
        <v>8911.81</v>
      </c>
      <c r="P751" s="2">
        <v>894.27</v>
      </c>
      <c r="Q751" t="s">
        <v>2170</v>
      </c>
    </row>
    <row r="752" spans="1:17">
      <c r="A752" t="s">
        <v>767</v>
      </c>
      <c r="B752" s="1">
        <v>45838</v>
      </c>
      <c r="C752" t="s">
        <v>1521</v>
      </c>
      <c r="D752" t="s">
        <v>1819</v>
      </c>
      <c r="E752" t="s">
        <v>2114</v>
      </c>
      <c r="F752" t="s">
        <v>2117</v>
      </c>
      <c r="G752" t="s">
        <v>2125</v>
      </c>
      <c r="H752" t="s">
        <v>2136</v>
      </c>
      <c r="I752" t="s">
        <v>2142</v>
      </c>
      <c r="J752" t="s">
        <v>2145</v>
      </c>
      <c r="K752" t="s">
        <v>2165</v>
      </c>
      <c r="L752" s="3">
        <v>3</v>
      </c>
      <c r="M752" s="2">
        <v>6259.71</v>
      </c>
      <c r="N752" s="5">
        <v>0</v>
      </c>
      <c r="O752" s="2">
        <v>18779.13</v>
      </c>
      <c r="P752" s="2">
        <v>4186.78</v>
      </c>
      <c r="Q752" t="s">
        <v>2170</v>
      </c>
    </row>
    <row r="753" spans="1:17">
      <c r="A753" t="s">
        <v>768</v>
      </c>
      <c r="B753" s="1">
        <v>45838</v>
      </c>
      <c r="C753" t="s">
        <v>1795</v>
      </c>
      <c r="D753" t="s">
        <v>2093</v>
      </c>
      <c r="E753" t="s">
        <v>2114</v>
      </c>
      <c r="F753" t="s">
        <v>2117</v>
      </c>
      <c r="G753" t="s">
        <v>2125</v>
      </c>
      <c r="H753" t="s">
        <v>2136</v>
      </c>
      <c r="I753" t="s">
        <v>2143</v>
      </c>
      <c r="J753" t="s">
        <v>2148</v>
      </c>
      <c r="K753" t="s">
        <v>2156</v>
      </c>
      <c r="L753" s="3">
        <v>1</v>
      </c>
      <c r="M753" s="2">
        <v>1172.8900000000001</v>
      </c>
      <c r="N753" s="5">
        <v>0.1</v>
      </c>
      <c r="O753" s="2">
        <v>1055.5999999999999</v>
      </c>
      <c r="P753" s="2">
        <v>176.68</v>
      </c>
      <c r="Q753" t="s">
        <v>2167</v>
      </c>
    </row>
    <row r="754" spans="1:17">
      <c r="A754" t="s">
        <v>769</v>
      </c>
      <c r="B754" s="1">
        <v>45838</v>
      </c>
      <c r="C754" t="s">
        <v>1672</v>
      </c>
      <c r="D754" t="s">
        <v>1970</v>
      </c>
      <c r="E754" t="s">
        <v>2113</v>
      </c>
      <c r="F754" t="s">
        <v>2118</v>
      </c>
      <c r="G754" t="s">
        <v>2122</v>
      </c>
      <c r="H754" t="s">
        <v>2133</v>
      </c>
      <c r="I754" t="s">
        <v>2142</v>
      </c>
      <c r="J754" t="s">
        <v>2145</v>
      </c>
      <c r="K754" t="s">
        <v>2165</v>
      </c>
      <c r="L754" s="3">
        <v>1</v>
      </c>
      <c r="M754" s="2">
        <v>6752.62</v>
      </c>
      <c r="N754" s="5">
        <v>0</v>
      </c>
      <c r="O754" s="2">
        <v>6752.62</v>
      </c>
      <c r="P754" s="2">
        <v>1055.46</v>
      </c>
      <c r="Q754" t="s">
        <v>2167</v>
      </c>
    </row>
    <row r="755" spans="1:17">
      <c r="A755" t="s">
        <v>770</v>
      </c>
      <c r="B755" s="1">
        <v>45838</v>
      </c>
      <c r="C755" t="s">
        <v>1754</v>
      </c>
      <c r="D755" t="s">
        <v>2052</v>
      </c>
      <c r="E755" t="s">
        <v>2113</v>
      </c>
      <c r="F755" t="s">
        <v>2118</v>
      </c>
      <c r="G755" t="s">
        <v>2126</v>
      </c>
      <c r="H755" t="s">
        <v>2137</v>
      </c>
      <c r="I755" t="s">
        <v>2143</v>
      </c>
      <c r="J755" t="s">
        <v>2148</v>
      </c>
      <c r="K755" t="s">
        <v>2156</v>
      </c>
      <c r="L755" s="3">
        <v>1</v>
      </c>
      <c r="M755" s="2">
        <v>1231.3</v>
      </c>
      <c r="N755" s="5">
        <v>0.15</v>
      </c>
      <c r="O755" s="2">
        <v>1046.6099999999999</v>
      </c>
      <c r="P755" s="2">
        <v>76.069999999999993</v>
      </c>
      <c r="Q755" t="s">
        <v>2168</v>
      </c>
    </row>
    <row r="756" spans="1:17">
      <c r="A756" t="s">
        <v>771</v>
      </c>
      <c r="B756" s="1">
        <v>45838</v>
      </c>
      <c r="C756" t="s">
        <v>1719</v>
      </c>
      <c r="D756" t="s">
        <v>2017</v>
      </c>
      <c r="E756" t="s">
        <v>2114</v>
      </c>
      <c r="F756" t="s">
        <v>2119</v>
      </c>
      <c r="G756" t="s">
        <v>2129</v>
      </c>
      <c r="H756" t="s">
        <v>2139</v>
      </c>
      <c r="I756" t="s">
        <v>2144</v>
      </c>
      <c r="J756" t="s">
        <v>2152</v>
      </c>
      <c r="K756" t="s">
        <v>2166</v>
      </c>
      <c r="L756" s="3">
        <v>1</v>
      </c>
      <c r="M756" s="2">
        <v>616.88</v>
      </c>
      <c r="N756" s="5">
        <v>0.1</v>
      </c>
      <c r="O756" s="2">
        <v>555.19000000000005</v>
      </c>
      <c r="P756" s="2">
        <v>139.9</v>
      </c>
      <c r="Q756" t="s">
        <v>2170</v>
      </c>
    </row>
    <row r="757" spans="1:17">
      <c r="A757" t="s">
        <v>772</v>
      </c>
      <c r="B757" s="1">
        <v>45838</v>
      </c>
      <c r="C757" t="s">
        <v>1740</v>
      </c>
      <c r="D757" t="s">
        <v>2038</v>
      </c>
      <c r="E757" t="s">
        <v>2113</v>
      </c>
      <c r="F757" t="s">
        <v>2117</v>
      </c>
      <c r="G757" t="s">
        <v>2123</v>
      </c>
      <c r="H757" t="s">
        <v>2134</v>
      </c>
      <c r="I757" t="s">
        <v>2143</v>
      </c>
      <c r="J757" t="s">
        <v>2148</v>
      </c>
      <c r="K757" t="s">
        <v>2156</v>
      </c>
      <c r="L757" s="3">
        <v>2</v>
      </c>
      <c r="M757" s="2">
        <v>1253.54</v>
      </c>
      <c r="N757" s="5">
        <v>0</v>
      </c>
      <c r="O757" s="2">
        <v>2507.08</v>
      </c>
      <c r="P757" s="2">
        <v>474.79</v>
      </c>
      <c r="Q757" t="s">
        <v>2169</v>
      </c>
    </row>
    <row r="758" spans="1:17">
      <c r="A758" t="s">
        <v>773</v>
      </c>
      <c r="B758" s="1">
        <v>45839</v>
      </c>
      <c r="C758" t="s">
        <v>1701</v>
      </c>
      <c r="D758" t="s">
        <v>1999</v>
      </c>
      <c r="E758" t="s">
        <v>2114</v>
      </c>
      <c r="F758" t="s">
        <v>2117</v>
      </c>
      <c r="G758" t="s">
        <v>2123</v>
      </c>
      <c r="H758" t="s">
        <v>2134</v>
      </c>
      <c r="I758" t="s">
        <v>2142</v>
      </c>
      <c r="J758" t="s">
        <v>2147</v>
      </c>
      <c r="K758" t="s">
        <v>2157</v>
      </c>
      <c r="L758" s="3">
        <v>1</v>
      </c>
      <c r="M758" s="2">
        <v>15089.07</v>
      </c>
      <c r="N758" s="5">
        <v>0</v>
      </c>
      <c r="O758" s="2">
        <v>15089.07</v>
      </c>
      <c r="P758" s="2">
        <v>2413.16</v>
      </c>
      <c r="Q758" t="s">
        <v>2168</v>
      </c>
    </row>
    <row r="759" spans="1:17">
      <c r="A759" t="s">
        <v>774</v>
      </c>
      <c r="B759" s="1">
        <v>45839</v>
      </c>
      <c r="C759" t="s">
        <v>1603</v>
      </c>
      <c r="D759" t="s">
        <v>1901</v>
      </c>
      <c r="E759" t="s">
        <v>2114</v>
      </c>
      <c r="F759" t="s">
        <v>2116</v>
      </c>
      <c r="G759" t="s">
        <v>2120</v>
      </c>
      <c r="H759" t="s">
        <v>2131</v>
      </c>
      <c r="I759" t="s">
        <v>2142</v>
      </c>
      <c r="J759" t="s">
        <v>2145</v>
      </c>
      <c r="K759" t="s">
        <v>2165</v>
      </c>
      <c r="L759" s="3">
        <v>4</v>
      </c>
      <c r="M759" s="2">
        <v>6529.93</v>
      </c>
      <c r="N759" s="5">
        <v>0.1</v>
      </c>
      <c r="O759" s="2">
        <v>23507.75</v>
      </c>
      <c r="P759" s="2">
        <v>3840.69</v>
      </c>
      <c r="Q759" t="s">
        <v>2170</v>
      </c>
    </row>
    <row r="760" spans="1:17">
      <c r="A760" t="s">
        <v>775</v>
      </c>
      <c r="B760" s="1">
        <v>45840</v>
      </c>
      <c r="C760" t="s">
        <v>1774</v>
      </c>
      <c r="D760" t="s">
        <v>2072</v>
      </c>
      <c r="E760" t="s">
        <v>2114</v>
      </c>
      <c r="F760" t="s">
        <v>2117</v>
      </c>
      <c r="G760" t="s">
        <v>2125</v>
      </c>
      <c r="H760" t="s">
        <v>2136</v>
      </c>
      <c r="I760" t="s">
        <v>2142</v>
      </c>
      <c r="J760" t="s">
        <v>2145</v>
      </c>
      <c r="K760" t="s">
        <v>2165</v>
      </c>
      <c r="L760" s="3">
        <v>1</v>
      </c>
      <c r="M760" s="2">
        <v>6731.75</v>
      </c>
      <c r="N760" s="5">
        <v>0.2</v>
      </c>
      <c r="O760" s="2">
        <v>5385.4</v>
      </c>
      <c r="P760" s="2">
        <v>946.94</v>
      </c>
      <c r="Q760" t="s">
        <v>2170</v>
      </c>
    </row>
    <row r="761" spans="1:17">
      <c r="A761" t="s">
        <v>776</v>
      </c>
      <c r="B761" s="1">
        <v>45840</v>
      </c>
      <c r="C761" t="s">
        <v>1604</v>
      </c>
      <c r="D761" t="s">
        <v>1902</v>
      </c>
      <c r="E761" t="s">
        <v>2114</v>
      </c>
      <c r="F761" t="s">
        <v>2117</v>
      </c>
      <c r="G761" t="s">
        <v>2123</v>
      </c>
      <c r="H761" t="s">
        <v>2134</v>
      </c>
      <c r="I761" t="s">
        <v>2143</v>
      </c>
      <c r="J761" t="s">
        <v>2149</v>
      </c>
      <c r="K761" t="s">
        <v>2163</v>
      </c>
      <c r="L761" s="3">
        <v>1</v>
      </c>
      <c r="M761" s="2">
        <v>64330.6</v>
      </c>
      <c r="N761" s="5">
        <v>0.2</v>
      </c>
      <c r="O761" s="2">
        <v>51464.480000000003</v>
      </c>
      <c r="P761" s="2">
        <v>32.229999999999997</v>
      </c>
      <c r="Q761" t="s">
        <v>2167</v>
      </c>
    </row>
    <row r="762" spans="1:17">
      <c r="A762" t="s">
        <v>777</v>
      </c>
      <c r="B762" s="1">
        <v>45840</v>
      </c>
      <c r="C762" t="s">
        <v>1706</v>
      </c>
      <c r="D762" t="s">
        <v>2004</v>
      </c>
      <c r="E762" t="s">
        <v>2114</v>
      </c>
      <c r="F762" t="s">
        <v>2118</v>
      </c>
      <c r="G762" t="s">
        <v>2126</v>
      </c>
      <c r="H762" t="s">
        <v>2137</v>
      </c>
      <c r="I762" t="s">
        <v>2144</v>
      </c>
      <c r="J762" t="s">
        <v>2152</v>
      </c>
      <c r="K762" t="s">
        <v>2162</v>
      </c>
      <c r="L762" s="3">
        <v>2</v>
      </c>
      <c r="M762" s="2">
        <v>336.76</v>
      </c>
      <c r="N762" s="5">
        <v>0</v>
      </c>
      <c r="O762" s="2">
        <v>673.52</v>
      </c>
      <c r="P762" s="2">
        <v>217.57</v>
      </c>
      <c r="Q762" t="s">
        <v>2168</v>
      </c>
    </row>
    <row r="763" spans="1:17">
      <c r="A763" t="s">
        <v>778</v>
      </c>
      <c r="B763" s="1">
        <v>45840</v>
      </c>
      <c r="C763" t="s">
        <v>1629</v>
      </c>
      <c r="D763" t="s">
        <v>1927</v>
      </c>
      <c r="E763" t="s">
        <v>2114</v>
      </c>
      <c r="F763" t="s">
        <v>2119</v>
      </c>
      <c r="G763" t="s">
        <v>2124</v>
      </c>
      <c r="H763" t="s">
        <v>2135</v>
      </c>
      <c r="I763" t="s">
        <v>2144</v>
      </c>
      <c r="J763" t="s">
        <v>2152</v>
      </c>
      <c r="K763" t="s">
        <v>2162</v>
      </c>
      <c r="L763" s="3">
        <v>2</v>
      </c>
      <c r="M763" s="2">
        <v>365.86</v>
      </c>
      <c r="N763" s="5">
        <v>0.1</v>
      </c>
      <c r="O763" s="2">
        <v>658.55</v>
      </c>
      <c r="P763" s="2">
        <v>146.77000000000001</v>
      </c>
      <c r="Q763" t="s">
        <v>2168</v>
      </c>
    </row>
    <row r="764" spans="1:17">
      <c r="A764" t="s">
        <v>779</v>
      </c>
      <c r="B764" s="1">
        <v>45841</v>
      </c>
      <c r="C764" t="s">
        <v>1764</v>
      </c>
      <c r="D764" t="s">
        <v>2062</v>
      </c>
      <c r="E764" t="s">
        <v>2115</v>
      </c>
      <c r="F764" t="s">
        <v>2116</v>
      </c>
      <c r="G764" t="s">
        <v>2127</v>
      </c>
      <c r="H764" t="s">
        <v>2140</v>
      </c>
      <c r="I764" t="s">
        <v>2144</v>
      </c>
      <c r="J764" t="s">
        <v>2147</v>
      </c>
      <c r="K764" t="s">
        <v>2155</v>
      </c>
      <c r="L764" s="3">
        <v>2</v>
      </c>
      <c r="M764" s="2">
        <v>766.58</v>
      </c>
      <c r="N764" s="5">
        <v>0.15</v>
      </c>
      <c r="O764" s="2">
        <v>1303.19</v>
      </c>
      <c r="P764" s="2">
        <v>315.87</v>
      </c>
      <c r="Q764" t="s">
        <v>2168</v>
      </c>
    </row>
    <row r="765" spans="1:17">
      <c r="A765" t="s">
        <v>780</v>
      </c>
      <c r="B765" s="1">
        <v>45841</v>
      </c>
      <c r="C765" t="s">
        <v>1584</v>
      </c>
      <c r="D765" t="s">
        <v>1882</v>
      </c>
      <c r="E765" t="s">
        <v>2115</v>
      </c>
      <c r="F765" t="s">
        <v>2117</v>
      </c>
      <c r="G765" t="s">
        <v>2125</v>
      </c>
      <c r="H765" t="s">
        <v>2136</v>
      </c>
      <c r="I765" t="s">
        <v>2144</v>
      </c>
      <c r="J765" t="s">
        <v>2152</v>
      </c>
      <c r="K765" t="s">
        <v>2162</v>
      </c>
      <c r="L765" s="3">
        <v>2</v>
      </c>
      <c r="M765" s="2">
        <v>365.36</v>
      </c>
      <c r="N765" s="5">
        <v>0.2</v>
      </c>
      <c r="O765" s="2">
        <v>584.58000000000004</v>
      </c>
      <c r="P765" s="2">
        <v>103.02</v>
      </c>
      <c r="Q765" t="s">
        <v>2170</v>
      </c>
    </row>
    <row r="766" spans="1:17">
      <c r="A766" t="s">
        <v>781</v>
      </c>
      <c r="B766" s="1">
        <v>45842</v>
      </c>
      <c r="C766" t="s">
        <v>1747</v>
      </c>
      <c r="D766" t="s">
        <v>2045</v>
      </c>
      <c r="E766" t="s">
        <v>2113</v>
      </c>
      <c r="F766" t="s">
        <v>2119</v>
      </c>
      <c r="G766" t="s">
        <v>2129</v>
      </c>
      <c r="H766" t="s">
        <v>2139</v>
      </c>
      <c r="I766" t="s">
        <v>2143</v>
      </c>
      <c r="J766" t="s">
        <v>2148</v>
      </c>
      <c r="K766" t="s">
        <v>2156</v>
      </c>
      <c r="L766" s="3">
        <v>2</v>
      </c>
      <c r="M766" s="2">
        <v>1172.8</v>
      </c>
      <c r="N766" s="5">
        <v>0</v>
      </c>
      <c r="O766" s="2">
        <v>2345.6</v>
      </c>
      <c r="P766" s="2">
        <v>491.29</v>
      </c>
      <c r="Q766" t="s">
        <v>2168</v>
      </c>
    </row>
    <row r="767" spans="1:17">
      <c r="A767" t="s">
        <v>782</v>
      </c>
      <c r="B767" s="1">
        <v>45842</v>
      </c>
      <c r="C767" t="s">
        <v>1544</v>
      </c>
      <c r="D767" t="s">
        <v>1842</v>
      </c>
      <c r="E767" t="s">
        <v>2114</v>
      </c>
      <c r="F767" t="s">
        <v>2118</v>
      </c>
      <c r="G767" t="s">
        <v>2122</v>
      </c>
      <c r="H767" t="s">
        <v>2133</v>
      </c>
      <c r="I767" t="s">
        <v>2143</v>
      </c>
      <c r="J767" t="s">
        <v>2149</v>
      </c>
      <c r="K767" t="s">
        <v>2163</v>
      </c>
      <c r="L767" s="3">
        <v>2</v>
      </c>
      <c r="M767" s="2">
        <v>66293.399999999994</v>
      </c>
      <c r="N767" s="5">
        <v>0</v>
      </c>
      <c r="O767" s="2">
        <v>132586.79999999999</v>
      </c>
      <c r="P767" s="2">
        <v>19075.740000000002</v>
      </c>
      <c r="Q767" t="s">
        <v>2168</v>
      </c>
    </row>
    <row r="768" spans="1:17">
      <c r="A768" t="s">
        <v>783</v>
      </c>
      <c r="B768" s="1">
        <v>45842</v>
      </c>
      <c r="C768" t="s">
        <v>1778</v>
      </c>
      <c r="D768" t="s">
        <v>2076</v>
      </c>
      <c r="E768" t="s">
        <v>2114</v>
      </c>
      <c r="F768" t="s">
        <v>2116</v>
      </c>
      <c r="G768" t="s">
        <v>2127</v>
      </c>
      <c r="H768" t="s">
        <v>2138</v>
      </c>
      <c r="I768" t="s">
        <v>2144</v>
      </c>
      <c r="J768" t="s">
        <v>2150</v>
      </c>
      <c r="K768" t="s">
        <v>2159</v>
      </c>
      <c r="L768" s="3">
        <v>4</v>
      </c>
      <c r="M768" s="2">
        <v>438.88</v>
      </c>
      <c r="N768" s="5">
        <v>0.1</v>
      </c>
      <c r="O768" s="2">
        <v>1579.97</v>
      </c>
      <c r="P768" s="2">
        <v>231.87</v>
      </c>
      <c r="Q768" t="s">
        <v>2167</v>
      </c>
    </row>
    <row r="769" spans="1:17">
      <c r="A769" t="s">
        <v>784</v>
      </c>
      <c r="B769" s="1">
        <v>45843</v>
      </c>
      <c r="C769" t="s">
        <v>1589</v>
      </c>
      <c r="D769" t="s">
        <v>1887</v>
      </c>
      <c r="E769" t="s">
        <v>2113</v>
      </c>
      <c r="F769" t="s">
        <v>2119</v>
      </c>
      <c r="G769" t="s">
        <v>2129</v>
      </c>
      <c r="H769" t="s">
        <v>2139</v>
      </c>
      <c r="I769" t="s">
        <v>2143</v>
      </c>
      <c r="J769" t="s">
        <v>2146</v>
      </c>
      <c r="K769" t="s">
        <v>2164</v>
      </c>
      <c r="L769" s="3">
        <v>2</v>
      </c>
      <c r="M769" s="2">
        <v>18721.259999999998</v>
      </c>
      <c r="N769" s="5">
        <v>0.15</v>
      </c>
      <c r="O769" s="2">
        <v>31826.14</v>
      </c>
      <c r="P769" s="2">
        <v>3617.36</v>
      </c>
      <c r="Q769" t="s">
        <v>2169</v>
      </c>
    </row>
    <row r="770" spans="1:17">
      <c r="A770" t="s">
        <v>785</v>
      </c>
      <c r="B770" s="1">
        <v>45843</v>
      </c>
      <c r="C770" t="s">
        <v>1687</v>
      </c>
      <c r="D770" t="s">
        <v>1985</v>
      </c>
      <c r="E770" t="s">
        <v>2114</v>
      </c>
      <c r="F770" t="s">
        <v>2119</v>
      </c>
      <c r="G770" t="s">
        <v>2130</v>
      </c>
      <c r="H770" t="s">
        <v>2141</v>
      </c>
      <c r="I770" t="s">
        <v>2143</v>
      </c>
      <c r="J770" t="s">
        <v>2149</v>
      </c>
      <c r="K770" t="s">
        <v>2158</v>
      </c>
      <c r="L770" s="3">
        <v>2</v>
      </c>
      <c r="M770" s="2">
        <v>49046.1</v>
      </c>
      <c r="N770" s="5">
        <v>0.05</v>
      </c>
      <c r="O770" s="2">
        <v>93187.59</v>
      </c>
      <c r="P770" s="2">
        <v>16620.88</v>
      </c>
      <c r="Q770" t="s">
        <v>2169</v>
      </c>
    </row>
    <row r="771" spans="1:17">
      <c r="A771" t="s">
        <v>786</v>
      </c>
      <c r="B771" s="1">
        <v>45843</v>
      </c>
      <c r="C771" t="s">
        <v>1552</v>
      </c>
      <c r="D771" t="s">
        <v>1850</v>
      </c>
      <c r="E771" t="s">
        <v>2115</v>
      </c>
      <c r="F771" t="s">
        <v>2118</v>
      </c>
      <c r="G771" t="s">
        <v>2128</v>
      </c>
      <c r="H771" t="s">
        <v>2128</v>
      </c>
      <c r="I771" t="s">
        <v>2143</v>
      </c>
      <c r="J771" t="s">
        <v>2146</v>
      </c>
      <c r="K771" t="s">
        <v>2154</v>
      </c>
      <c r="L771" s="3">
        <v>2</v>
      </c>
      <c r="M771" s="2">
        <v>40223.269999999997</v>
      </c>
      <c r="N771" s="5">
        <v>0.05</v>
      </c>
      <c r="O771" s="2">
        <v>76424.210000000006</v>
      </c>
      <c r="P771" s="2">
        <v>12124.04</v>
      </c>
      <c r="Q771" t="s">
        <v>2169</v>
      </c>
    </row>
    <row r="772" spans="1:17">
      <c r="A772" t="s">
        <v>787</v>
      </c>
      <c r="B772" s="1">
        <v>45843</v>
      </c>
      <c r="C772" t="s">
        <v>1695</v>
      </c>
      <c r="D772" t="s">
        <v>1993</v>
      </c>
      <c r="E772" t="s">
        <v>2114</v>
      </c>
      <c r="F772" t="s">
        <v>2118</v>
      </c>
      <c r="G772" t="s">
        <v>2128</v>
      </c>
      <c r="H772" t="s">
        <v>2128</v>
      </c>
      <c r="I772" t="s">
        <v>2143</v>
      </c>
      <c r="J772" t="s">
        <v>2148</v>
      </c>
      <c r="K772" t="s">
        <v>2161</v>
      </c>
      <c r="L772" s="3">
        <v>2</v>
      </c>
      <c r="M772" s="2">
        <v>1722.24</v>
      </c>
      <c r="N772" s="5">
        <v>0.1</v>
      </c>
      <c r="O772" s="2">
        <v>3100.03</v>
      </c>
      <c r="P772" s="2">
        <v>284.48</v>
      </c>
      <c r="Q772" t="s">
        <v>2168</v>
      </c>
    </row>
    <row r="773" spans="1:17">
      <c r="A773" t="s">
        <v>788</v>
      </c>
      <c r="B773" s="1">
        <v>45843</v>
      </c>
      <c r="C773" t="s">
        <v>1654</v>
      </c>
      <c r="D773" t="s">
        <v>1952</v>
      </c>
      <c r="E773" t="s">
        <v>2115</v>
      </c>
      <c r="F773" t="s">
        <v>2117</v>
      </c>
      <c r="G773" t="s">
        <v>2123</v>
      </c>
      <c r="H773" t="s">
        <v>2134</v>
      </c>
      <c r="I773" t="s">
        <v>2144</v>
      </c>
      <c r="J773" t="s">
        <v>2152</v>
      </c>
      <c r="K773" t="s">
        <v>2166</v>
      </c>
      <c r="L773" s="3">
        <v>1</v>
      </c>
      <c r="M773" s="2">
        <v>612.37</v>
      </c>
      <c r="N773" s="5">
        <v>0.1</v>
      </c>
      <c r="O773" s="2">
        <v>551.13</v>
      </c>
      <c r="P773" s="2">
        <v>132.15</v>
      </c>
      <c r="Q773" t="s">
        <v>2170</v>
      </c>
    </row>
    <row r="774" spans="1:17">
      <c r="A774" t="s">
        <v>789</v>
      </c>
      <c r="B774" s="1">
        <v>45844</v>
      </c>
      <c r="C774" t="s">
        <v>1523</v>
      </c>
      <c r="D774" t="s">
        <v>1821</v>
      </c>
      <c r="E774" t="s">
        <v>2115</v>
      </c>
      <c r="F774" t="s">
        <v>2119</v>
      </c>
      <c r="G774" t="s">
        <v>2129</v>
      </c>
      <c r="H774" t="s">
        <v>2139</v>
      </c>
      <c r="I774" t="s">
        <v>2144</v>
      </c>
      <c r="J774" t="s">
        <v>2152</v>
      </c>
      <c r="K774" t="s">
        <v>2166</v>
      </c>
      <c r="L774" s="3">
        <v>5</v>
      </c>
      <c r="M774" s="2">
        <v>572.41999999999996</v>
      </c>
      <c r="N774" s="5">
        <v>0</v>
      </c>
      <c r="O774" s="2">
        <v>2862.1</v>
      </c>
      <c r="P774" s="2">
        <v>664.69</v>
      </c>
      <c r="Q774" t="s">
        <v>2167</v>
      </c>
    </row>
    <row r="775" spans="1:17">
      <c r="A775" t="s">
        <v>790</v>
      </c>
      <c r="B775" s="1">
        <v>45844</v>
      </c>
      <c r="C775" t="s">
        <v>1713</v>
      </c>
      <c r="D775" t="s">
        <v>2011</v>
      </c>
      <c r="E775" t="s">
        <v>2114</v>
      </c>
      <c r="F775" t="s">
        <v>2117</v>
      </c>
      <c r="G775" t="s">
        <v>2123</v>
      </c>
      <c r="H775" t="s">
        <v>2134</v>
      </c>
      <c r="I775" t="s">
        <v>2144</v>
      </c>
      <c r="J775" t="s">
        <v>2150</v>
      </c>
      <c r="K775" t="s">
        <v>2159</v>
      </c>
      <c r="L775" s="3">
        <v>3</v>
      </c>
      <c r="M775" s="2">
        <v>454.9</v>
      </c>
      <c r="N775" s="5">
        <v>0</v>
      </c>
      <c r="O775" s="2">
        <v>1364.7</v>
      </c>
      <c r="P775" s="2">
        <v>392.43</v>
      </c>
      <c r="Q775" t="s">
        <v>2170</v>
      </c>
    </row>
    <row r="776" spans="1:17">
      <c r="A776" t="s">
        <v>791</v>
      </c>
      <c r="B776" s="1">
        <v>45844</v>
      </c>
      <c r="C776" t="s">
        <v>1586</v>
      </c>
      <c r="D776" t="s">
        <v>1884</v>
      </c>
      <c r="E776" t="s">
        <v>2113</v>
      </c>
      <c r="F776" t="s">
        <v>2119</v>
      </c>
      <c r="G776" t="s">
        <v>2130</v>
      </c>
      <c r="H776" t="s">
        <v>2141</v>
      </c>
      <c r="I776" t="s">
        <v>2142</v>
      </c>
      <c r="J776" t="s">
        <v>2145</v>
      </c>
      <c r="K776" t="s">
        <v>2165</v>
      </c>
      <c r="L776" s="3">
        <v>2</v>
      </c>
      <c r="M776" s="2">
        <v>6801.02</v>
      </c>
      <c r="N776" s="5">
        <v>0</v>
      </c>
      <c r="O776" s="2">
        <v>13602.04</v>
      </c>
      <c r="P776" s="2">
        <v>1899.66</v>
      </c>
      <c r="Q776" t="s">
        <v>2169</v>
      </c>
    </row>
    <row r="777" spans="1:17">
      <c r="A777" t="s">
        <v>792</v>
      </c>
      <c r="B777" s="1">
        <v>45844</v>
      </c>
      <c r="C777" t="s">
        <v>1659</v>
      </c>
      <c r="D777" t="s">
        <v>1957</v>
      </c>
      <c r="E777" t="s">
        <v>2115</v>
      </c>
      <c r="F777" t="s">
        <v>2116</v>
      </c>
      <c r="G777" t="s">
        <v>2127</v>
      </c>
      <c r="H777" t="s">
        <v>2140</v>
      </c>
      <c r="I777" t="s">
        <v>2142</v>
      </c>
      <c r="J777" t="s">
        <v>2145</v>
      </c>
      <c r="K777" t="s">
        <v>2153</v>
      </c>
      <c r="L777" s="3">
        <v>3</v>
      </c>
      <c r="M777" s="2">
        <v>12358.5</v>
      </c>
      <c r="N777" s="5">
        <v>0.1</v>
      </c>
      <c r="O777" s="2">
        <v>33367.949999999997</v>
      </c>
      <c r="P777" s="2">
        <v>4527.6099999999997</v>
      </c>
      <c r="Q777" t="s">
        <v>2167</v>
      </c>
    </row>
    <row r="778" spans="1:17">
      <c r="A778" t="s">
        <v>793</v>
      </c>
      <c r="B778" s="1">
        <v>45844</v>
      </c>
      <c r="C778" t="s">
        <v>1699</v>
      </c>
      <c r="D778" t="s">
        <v>1997</v>
      </c>
      <c r="E778" t="s">
        <v>2114</v>
      </c>
      <c r="F778" t="s">
        <v>2117</v>
      </c>
      <c r="G778" t="s">
        <v>2123</v>
      </c>
      <c r="H778" t="s">
        <v>2134</v>
      </c>
      <c r="I778" t="s">
        <v>2143</v>
      </c>
      <c r="J778" t="s">
        <v>2148</v>
      </c>
      <c r="K778" t="s">
        <v>2156</v>
      </c>
      <c r="L778" s="3">
        <v>2</v>
      </c>
      <c r="M778" s="2">
        <v>1220.02</v>
      </c>
      <c r="N778" s="5">
        <v>0</v>
      </c>
      <c r="O778" s="2">
        <v>2440.04</v>
      </c>
      <c r="P778" s="2">
        <v>305.55</v>
      </c>
      <c r="Q778" t="s">
        <v>2170</v>
      </c>
    </row>
    <row r="779" spans="1:17">
      <c r="A779" t="s">
        <v>794</v>
      </c>
      <c r="B779" s="1">
        <v>45844</v>
      </c>
      <c r="C779" t="s">
        <v>1634</v>
      </c>
      <c r="D779" t="s">
        <v>1932</v>
      </c>
      <c r="E779" t="s">
        <v>2114</v>
      </c>
      <c r="F779" t="s">
        <v>2117</v>
      </c>
      <c r="G779" t="s">
        <v>2121</v>
      </c>
      <c r="H779" t="s">
        <v>2132</v>
      </c>
      <c r="I779" t="s">
        <v>2144</v>
      </c>
      <c r="J779" t="s">
        <v>2147</v>
      </c>
      <c r="K779" t="s">
        <v>2155</v>
      </c>
      <c r="L779" s="3">
        <v>4</v>
      </c>
      <c r="M779" s="2">
        <v>756.09</v>
      </c>
      <c r="N779" s="5">
        <v>0.1</v>
      </c>
      <c r="O779" s="2">
        <v>2721.92</v>
      </c>
      <c r="P779" s="2">
        <v>467.68</v>
      </c>
      <c r="Q779" t="s">
        <v>2167</v>
      </c>
    </row>
    <row r="780" spans="1:17">
      <c r="A780" t="s">
        <v>795</v>
      </c>
      <c r="B780" s="1">
        <v>45845</v>
      </c>
      <c r="C780" t="s">
        <v>1707</v>
      </c>
      <c r="D780" t="s">
        <v>2005</v>
      </c>
      <c r="E780" t="s">
        <v>2114</v>
      </c>
      <c r="F780" t="s">
        <v>2117</v>
      </c>
      <c r="G780" t="s">
        <v>2121</v>
      </c>
      <c r="H780" t="s">
        <v>2132</v>
      </c>
      <c r="I780" t="s">
        <v>2144</v>
      </c>
      <c r="J780" t="s">
        <v>2150</v>
      </c>
      <c r="K780" t="s">
        <v>2159</v>
      </c>
      <c r="L780" s="3">
        <v>1</v>
      </c>
      <c r="M780" s="2">
        <v>439.34</v>
      </c>
      <c r="N780" s="5">
        <v>0.1</v>
      </c>
      <c r="O780" s="2">
        <v>395.41</v>
      </c>
      <c r="P780" s="2">
        <v>85.29</v>
      </c>
      <c r="Q780" t="s">
        <v>2170</v>
      </c>
    </row>
    <row r="781" spans="1:17">
      <c r="A781" t="s">
        <v>796</v>
      </c>
      <c r="B781" s="1">
        <v>45845</v>
      </c>
      <c r="C781" t="s">
        <v>1748</v>
      </c>
      <c r="D781" t="s">
        <v>2046</v>
      </c>
      <c r="E781" t="s">
        <v>2113</v>
      </c>
      <c r="F781" t="s">
        <v>2117</v>
      </c>
      <c r="G781" t="s">
        <v>2123</v>
      </c>
      <c r="H781" t="s">
        <v>2134</v>
      </c>
      <c r="I781" t="s">
        <v>2143</v>
      </c>
      <c r="J781" t="s">
        <v>2149</v>
      </c>
      <c r="K781" t="s">
        <v>2158</v>
      </c>
      <c r="L781" s="3">
        <v>5</v>
      </c>
      <c r="M781" s="2">
        <v>48592.27</v>
      </c>
      <c r="N781" s="5">
        <v>0.15</v>
      </c>
      <c r="O781" s="2">
        <v>206517.15</v>
      </c>
      <c r="P781" s="2">
        <v>31015.759999999998</v>
      </c>
      <c r="Q781" t="s">
        <v>2168</v>
      </c>
    </row>
    <row r="782" spans="1:17">
      <c r="A782" t="s">
        <v>797</v>
      </c>
      <c r="B782" s="1">
        <v>45845</v>
      </c>
      <c r="C782" t="s">
        <v>1613</v>
      </c>
      <c r="D782" t="s">
        <v>1911</v>
      </c>
      <c r="E782" t="s">
        <v>2114</v>
      </c>
      <c r="F782" t="s">
        <v>2119</v>
      </c>
      <c r="G782" t="s">
        <v>2130</v>
      </c>
      <c r="H782" t="s">
        <v>2141</v>
      </c>
      <c r="I782" t="s">
        <v>2142</v>
      </c>
      <c r="J782" t="s">
        <v>2147</v>
      </c>
      <c r="K782" t="s">
        <v>2157</v>
      </c>
      <c r="L782" s="3">
        <v>1</v>
      </c>
      <c r="M782" s="2">
        <v>13875.09</v>
      </c>
      <c r="N782" s="5">
        <v>0.1</v>
      </c>
      <c r="O782" s="2">
        <v>12487.58</v>
      </c>
      <c r="P782" s="2">
        <v>1092.4000000000001</v>
      </c>
      <c r="Q782" t="s">
        <v>2170</v>
      </c>
    </row>
    <row r="783" spans="1:17">
      <c r="A783" t="s">
        <v>798</v>
      </c>
      <c r="B783" s="1">
        <v>45846</v>
      </c>
      <c r="C783" t="s">
        <v>1673</v>
      </c>
      <c r="D783" t="s">
        <v>1971</v>
      </c>
      <c r="E783" t="s">
        <v>2114</v>
      </c>
      <c r="F783" t="s">
        <v>2117</v>
      </c>
      <c r="G783" t="s">
        <v>2125</v>
      </c>
      <c r="H783" t="s">
        <v>2136</v>
      </c>
      <c r="I783" t="s">
        <v>2142</v>
      </c>
      <c r="J783" t="s">
        <v>2145</v>
      </c>
      <c r="K783" t="s">
        <v>2165</v>
      </c>
      <c r="L783" s="3">
        <v>3</v>
      </c>
      <c r="M783" s="2">
        <v>6732.48</v>
      </c>
      <c r="N783" s="5">
        <v>0</v>
      </c>
      <c r="O783" s="2">
        <v>20197.439999999999</v>
      </c>
      <c r="P783" s="2">
        <v>5324.07</v>
      </c>
      <c r="Q783" t="s">
        <v>2170</v>
      </c>
    </row>
    <row r="784" spans="1:17">
      <c r="A784" t="s">
        <v>799</v>
      </c>
      <c r="B784" s="1">
        <v>45846</v>
      </c>
      <c r="C784" t="s">
        <v>1720</v>
      </c>
      <c r="D784" t="s">
        <v>2018</v>
      </c>
      <c r="E784" t="s">
        <v>2114</v>
      </c>
      <c r="F784" t="s">
        <v>2117</v>
      </c>
      <c r="G784" t="s">
        <v>2125</v>
      </c>
      <c r="H784" t="s">
        <v>2136</v>
      </c>
      <c r="I784" t="s">
        <v>2143</v>
      </c>
      <c r="J784" t="s">
        <v>2146</v>
      </c>
      <c r="K784" t="s">
        <v>2164</v>
      </c>
      <c r="L784" s="3">
        <v>2</v>
      </c>
      <c r="M784" s="2">
        <v>18279.04</v>
      </c>
      <c r="N784" s="5">
        <v>0.1</v>
      </c>
      <c r="O784" s="2">
        <v>32902.269999999997</v>
      </c>
      <c r="P784" s="2">
        <v>4071.8</v>
      </c>
      <c r="Q784" t="s">
        <v>2168</v>
      </c>
    </row>
    <row r="785" spans="1:17">
      <c r="A785" t="s">
        <v>800</v>
      </c>
      <c r="B785" s="1">
        <v>45846</v>
      </c>
      <c r="C785" t="s">
        <v>1756</v>
      </c>
      <c r="D785" t="s">
        <v>2054</v>
      </c>
      <c r="E785" t="s">
        <v>2113</v>
      </c>
      <c r="F785" t="s">
        <v>2116</v>
      </c>
      <c r="G785" t="s">
        <v>2127</v>
      </c>
      <c r="H785" t="s">
        <v>2140</v>
      </c>
      <c r="I785" t="s">
        <v>2144</v>
      </c>
      <c r="J785" t="s">
        <v>2150</v>
      </c>
      <c r="K785" t="s">
        <v>2159</v>
      </c>
      <c r="L785" s="3">
        <v>1</v>
      </c>
      <c r="M785" s="2">
        <v>443.56</v>
      </c>
      <c r="N785" s="5">
        <v>0.1</v>
      </c>
      <c r="O785" s="2">
        <v>399.2</v>
      </c>
      <c r="P785" s="2">
        <v>111.57</v>
      </c>
      <c r="Q785" t="s">
        <v>2167</v>
      </c>
    </row>
    <row r="786" spans="1:17">
      <c r="A786" t="s">
        <v>801</v>
      </c>
      <c r="B786" s="1">
        <v>45847</v>
      </c>
      <c r="C786" t="s">
        <v>1548</v>
      </c>
      <c r="D786" t="s">
        <v>1846</v>
      </c>
      <c r="E786" t="s">
        <v>2114</v>
      </c>
      <c r="F786" t="s">
        <v>2119</v>
      </c>
      <c r="G786" t="s">
        <v>2130</v>
      </c>
      <c r="H786" t="s">
        <v>2141</v>
      </c>
      <c r="I786" t="s">
        <v>2144</v>
      </c>
      <c r="J786" t="s">
        <v>2150</v>
      </c>
      <c r="K786" t="s">
        <v>2159</v>
      </c>
      <c r="L786" s="3">
        <v>1</v>
      </c>
      <c r="M786" s="2">
        <v>454.81</v>
      </c>
      <c r="N786" s="5">
        <v>0.1</v>
      </c>
      <c r="O786" s="2">
        <v>409.33</v>
      </c>
      <c r="P786" s="2">
        <v>93.15</v>
      </c>
      <c r="Q786" t="s">
        <v>2169</v>
      </c>
    </row>
    <row r="787" spans="1:17">
      <c r="A787" t="s">
        <v>802</v>
      </c>
      <c r="B787" s="1">
        <v>45847</v>
      </c>
      <c r="C787" t="s">
        <v>1800</v>
      </c>
      <c r="D787" t="s">
        <v>2098</v>
      </c>
      <c r="E787" t="s">
        <v>2114</v>
      </c>
      <c r="F787" t="s">
        <v>2118</v>
      </c>
      <c r="G787" t="s">
        <v>2128</v>
      </c>
      <c r="H787" t="s">
        <v>2128</v>
      </c>
      <c r="I787" t="s">
        <v>2143</v>
      </c>
      <c r="J787" t="s">
        <v>2149</v>
      </c>
      <c r="K787" t="s">
        <v>2163</v>
      </c>
      <c r="L787" s="3">
        <v>2</v>
      </c>
      <c r="M787" s="2">
        <v>66823.72</v>
      </c>
      <c r="N787" s="5">
        <v>0</v>
      </c>
      <c r="O787" s="2">
        <v>133647.44</v>
      </c>
      <c r="P787" s="2">
        <v>17457.7</v>
      </c>
      <c r="Q787" t="s">
        <v>2168</v>
      </c>
    </row>
    <row r="788" spans="1:17">
      <c r="A788" t="s">
        <v>803</v>
      </c>
      <c r="B788" s="1">
        <v>45847</v>
      </c>
      <c r="C788" t="s">
        <v>1520</v>
      </c>
      <c r="D788" t="s">
        <v>1818</v>
      </c>
      <c r="E788" t="s">
        <v>2114</v>
      </c>
      <c r="F788" t="s">
        <v>2118</v>
      </c>
      <c r="G788" t="s">
        <v>2126</v>
      </c>
      <c r="H788" t="s">
        <v>2137</v>
      </c>
      <c r="I788" t="s">
        <v>2144</v>
      </c>
      <c r="J788" t="s">
        <v>2152</v>
      </c>
      <c r="K788" t="s">
        <v>2162</v>
      </c>
      <c r="L788" s="3">
        <v>2</v>
      </c>
      <c r="M788" s="2">
        <v>337.43</v>
      </c>
      <c r="N788" s="5">
        <v>0.1</v>
      </c>
      <c r="O788" s="2">
        <v>607.37</v>
      </c>
      <c r="P788" s="2">
        <v>134</v>
      </c>
      <c r="Q788" t="s">
        <v>2167</v>
      </c>
    </row>
    <row r="789" spans="1:17">
      <c r="A789" t="s">
        <v>804</v>
      </c>
      <c r="B789" s="1">
        <v>45847</v>
      </c>
      <c r="C789" t="s">
        <v>1623</v>
      </c>
      <c r="D789" t="s">
        <v>1921</v>
      </c>
      <c r="E789" t="s">
        <v>2114</v>
      </c>
      <c r="F789" t="s">
        <v>2117</v>
      </c>
      <c r="G789" t="s">
        <v>2125</v>
      </c>
      <c r="H789" t="s">
        <v>2136</v>
      </c>
      <c r="I789" t="s">
        <v>2143</v>
      </c>
      <c r="J789" t="s">
        <v>2149</v>
      </c>
      <c r="K789" t="s">
        <v>2158</v>
      </c>
      <c r="L789" s="3">
        <v>3</v>
      </c>
      <c r="M789" s="2">
        <v>46402.080000000002</v>
      </c>
      <c r="N789" s="5">
        <v>0.05</v>
      </c>
      <c r="O789" s="2">
        <v>132245.93</v>
      </c>
      <c r="P789" s="2">
        <v>9899.08</v>
      </c>
      <c r="Q789" t="s">
        <v>2167</v>
      </c>
    </row>
    <row r="790" spans="1:17">
      <c r="A790" t="s">
        <v>805</v>
      </c>
      <c r="B790" s="1">
        <v>45847</v>
      </c>
      <c r="C790" t="s">
        <v>1682</v>
      </c>
      <c r="D790" t="s">
        <v>1980</v>
      </c>
      <c r="E790" t="s">
        <v>2113</v>
      </c>
      <c r="F790" t="s">
        <v>2117</v>
      </c>
      <c r="G790" t="s">
        <v>2123</v>
      </c>
      <c r="H790" t="s">
        <v>2134</v>
      </c>
      <c r="I790" t="s">
        <v>2143</v>
      </c>
      <c r="J790" t="s">
        <v>2148</v>
      </c>
      <c r="K790" t="s">
        <v>2161</v>
      </c>
      <c r="L790" s="3">
        <v>1</v>
      </c>
      <c r="M790" s="2">
        <v>1742.72</v>
      </c>
      <c r="N790" s="5">
        <v>0.05</v>
      </c>
      <c r="O790" s="2">
        <v>1655.58</v>
      </c>
      <c r="P790" s="2">
        <v>143.38999999999999</v>
      </c>
      <c r="Q790" t="s">
        <v>2170</v>
      </c>
    </row>
    <row r="791" spans="1:17">
      <c r="A791" t="s">
        <v>806</v>
      </c>
      <c r="B791" s="1">
        <v>45847</v>
      </c>
      <c r="C791" t="s">
        <v>1615</v>
      </c>
      <c r="D791" t="s">
        <v>1913</v>
      </c>
      <c r="E791" t="s">
        <v>2114</v>
      </c>
      <c r="F791" t="s">
        <v>2116</v>
      </c>
      <c r="G791" t="s">
        <v>2127</v>
      </c>
      <c r="H791" t="s">
        <v>2140</v>
      </c>
      <c r="I791" t="s">
        <v>2144</v>
      </c>
      <c r="J791" t="s">
        <v>2152</v>
      </c>
      <c r="K791" t="s">
        <v>2166</v>
      </c>
      <c r="L791" s="3">
        <v>1</v>
      </c>
      <c r="M791" s="2">
        <v>615.98</v>
      </c>
      <c r="N791" s="5">
        <v>0.2</v>
      </c>
      <c r="O791" s="2">
        <v>492.78</v>
      </c>
      <c r="P791" s="2">
        <v>108.61</v>
      </c>
      <c r="Q791" t="s">
        <v>2168</v>
      </c>
    </row>
    <row r="792" spans="1:17">
      <c r="A792" t="s">
        <v>807</v>
      </c>
      <c r="B792" s="1">
        <v>45848</v>
      </c>
      <c r="C792" t="s">
        <v>1527</v>
      </c>
      <c r="D792" t="s">
        <v>1825</v>
      </c>
      <c r="E792" t="s">
        <v>2114</v>
      </c>
      <c r="F792" t="s">
        <v>2116</v>
      </c>
      <c r="G792" t="s">
        <v>2127</v>
      </c>
      <c r="H792" t="s">
        <v>2140</v>
      </c>
      <c r="I792" t="s">
        <v>2142</v>
      </c>
      <c r="J792" t="s">
        <v>2145</v>
      </c>
      <c r="K792" t="s">
        <v>2165</v>
      </c>
      <c r="L792" s="3">
        <v>3</v>
      </c>
      <c r="M792" s="2">
        <v>6472.35</v>
      </c>
      <c r="N792" s="5">
        <v>0.05</v>
      </c>
      <c r="O792" s="2">
        <v>18446.2</v>
      </c>
      <c r="P792" s="2">
        <v>3457.39</v>
      </c>
      <c r="Q792" t="s">
        <v>2169</v>
      </c>
    </row>
    <row r="793" spans="1:17">
      <c r="A793" t="s">
        <v>808</v>
      </c>
      <c r="B793" s="1">
        <v>45848</v>
      </c>
      <c r="C793" t="s">
        <v>1559</v>
      </c>
      <c r="D793" t="s">
        <v>1857</v>
      </c>
      <c r="E793" t="s">
        <v>2115</v>
      </c>
      <c r="F793" t="s">
        <v>2116</v>
      </c>
      <c r="G793" t="s">
        <v>2127</v>
      </c>
      <c r="H793" t="s">
        <v>2138</v>
      </c>
      <c r="I793" t="s">
        <v>2144</v>
      </c>
      <c r="J793" t="s">
        <v>2152</v>
      </c>
      <c r="K793" t="s">
        <v>2166</v>
      </c>
      <c r="L793" s="3">
        <v>3</v>
      </c>
      <c r="M793" s="2">
        <v>600.74</v>
      </c>
      <c r="N793" s="5">
        <v>0</v>
      </c>
      <c r="O793" s="2">
        <v>1802.22</v>
      </c>
      <c r="P793" s="2">
        <v>446</v>
      </c>
      <c r="Q793" t="s">
        <v>2170</v>
      </c>
    </row>
    <row r="794" spans="1:17">
      <c r="A794" t="s">
        <v>809</v>
      </c>
      <c r="B794" s="1">
        <v>45849</v>
      </c>
      <c r="C794" t="s">
        <v>1713</v>
      </c>
      <c r="D794" t="s">
        <v>2011</v>
      </c>
      <c r="E794" t="s">
        <v>2114</v>
      </c>
      <c r="F794" t="s">
        <v>2118</v>
      </c>
      <c r="G794" t="s">
        <v>2126</v>
      </c>
      <c r="H794" t="s">
        <v>2137</v>
      </c>
      <c r="I794" t="s">
        <v>2144</v>
      </c>
      <c r="J794" t="s">
        <v>2152</v>
      </c>
      <c r="K794" t="s">
        <v>2166</v>
      </c>
      <c r="L794" s="3">
        <v>3</v>
      </c>
      <c r="M794" s="2">
        <v>575.70000000000005</v>
      </c>
      <c r="N794" s="5">
        <v>0.1</v>
      </c>
      <c r="O794" s="2">
        <v>1554.39</v>
      </c>
      <c r="P794" s="2">
        <v>278.16000000000003</v>
      </c>
      <c r="Q794" t="s">
        <v>2167</v>
      </c>
    </row>
    <row r="795" spans="1:17">
      <c r="A795" t="s">
        <v>810</v>
      </c>
      <c r="B795" s="1">
        <v>45849</v>
      </c>
      <c r="C795" t="s">
        <v>1759</v>
      </c>
      <c r="D795" t="s">
        <v>2057</v>
      </c>
      <c r="E795" t="s">
        <v>2114</v>
      </c>
      <c r="F795" t="s">
        <v>2118</v>
      </c>
      <c r="G795" t="s">
        <v>2126</v>
      </c>
      <c r="H795" t="s">
        <v>2137</v>
      </c>
      <c r="I795" t="s">
        <v>2142</v>
      </c>
      <c r="J795" t="s">
        <v>2145</v>
      </c>
      <c r="K795" t="s">
        <v>2153</v>
      </c>
      <c r="L795" s="3">
        <v>1</v>
      </c>
      <c r="M795" s="2">
        <v>12253.36</v>
      </c>
      <c r="N795" s="5">
        <v>0.2</v>
      </c>
      <c r="O795" s="2">
        <v>9802.69</v>
      </c>
      <c r="P795" s="2">
        <v>1159.17</v>
      </c>
      <c r="Q795" t="s">
        <v>2168</v>
      </c>
    </row>
    <row r="796" spans="1:17">
      <c r="A796" t="s">
        <v>811</v>
      </c>
      <c r="B796" s="1">
        <v>45849</v>
      </c>
      <c r="C796" t="s">
        <v>1780</v>
      </c>
      <c r="D796" t="s">
        <v>2078</v>
      </c>
      <c r="E796" t="s">
        <v>2114</v>
      </c>
      <c r="F796" t="s">
        <v>2118</v>
      </c>
      <c r="G796" t="s">
        <v>2122</v>
      </c>
      <c r="H796" t="s">
        <v>2133</v>
      </c>
      <c r="I796" t="s">
        <v>2143</v>
      </c>
      <c r="J796" t="s">
        <v>2149</v>
      </c>
      <c r="K796" t="s">
        <v>2163</v>
      </c>
      <c r="L796" s="3">
        <v>2</v>
      </c>
      <c r="M796" s="2">
        <v>65785.95</v>
      </c>
      <c r="N796" s="5">
        <v>0.05</v>
      </c>
      <c r="O796" s="2">
        <v>124993.3</v>
      </c>
      <c r="P796" s="2">
        <v>8813.24</v>
      </c>
      <c r="Q796" t="s">
        <v>2168</v>
      </c>
    </row>
    <row r="797" spans="1:17">
      <c r="A797" t="s">
        <v>812</v>
      </c>
      <c r="B797" s="1">
        <v>45849</v>
      </c>
      <c r="C797" t="s">
        <v>1643</v>
      </c>
      <c r="D797" t="s">
        <v>1941</v>
      </c>
      <c r="E797" t="s">
        <v>2113</v>
      </c>
      <c r="F797" t="s">
        <v>2119</v>
      </c>
      <c r="G797" t="s">
        <v>2129</v>
      </c>
      <c r="H797" t="s">
        <v>2139</v>
      </c>
      <c r="I797" t="s">
        <v>2144</v>
      </c>
      <c r="J797" t="s">
        <v>2152</v>
      </c>
      <c r="K797" t="s">
        <v>2162</v>
      </c>
      <c r="L797" s="3">
        <v>5</v>
      </c>
      <c r="M797" s="2">
        <v>355.84</v>
      </c>
      <c r="N797" s="5">
        <v>0.15</v>
      </c>
      <c r="O797" s="2">
        <v>1512.32</v>
      </c>
      <c r="P797" s="2">
        <v>358.97</v>
      </c>
      <c r="Q797" t="s">
        <v>2169</v>
      </c>
    </row>
    <row r="798" spans="1:17">
      <c r="A798" t="s">
        <v>813</v>
      </c>
      <c r="B798" s="1">
        <v>45849</v>
      </c>
      <c r="C798" t="s">
        <v>1758</v>
      </c>
      <c r="D798" t="s">
        <v>2056</v>
      </c>
      <c r="E798" t="s">
        <v>2114</v>
      </c>
      <c r="F798" t="s">
        <v>2118</v>
      </c>
      <c r="G798" t="s">
        <v>2122</v>
      </c>
      <c r="H798" t="s">
        <v>2133</v>
      </c>
      <c r="I798" t="s">
        <v>2142</v>
      </c>
      <c r="J798" t="s">
        <v>2147</v>
      </c>
      <c r="K798" t="s">
        <v>2157</v>
      </c>
      <c r="L798" s="3">
        <v>1</v>
      </c>
      <c r="M798" s="2">
        <v>14587.55</v>
      </c>
      <c r="N798" s="5">
        <v>0.05</v>
      </c>
      <c r="O798" s="2">
        <v>13858.17</v>
      </c>
      <c r="P798" s="2">
        <v>2359.21</v>
      </c>
      <c r="Q798" t="s">
        <v>2167</v>
      </c>
    </row>
    <row r="799" spans="1:17">
      <c r="A799" t="s">
        <v>814</v>
      </c>
      <c r="B799" s="1">
        <v>45849</v>
      </c>
      <c r="C799" t="s">
        <v>1753</v>
      </c>
      <c r="D799" t="s">
        <v>2051</v>
      </c>
      <c r="E799" t="s">
        <v>2114</v>
      </c>
      <c r="F799" t="s">
        <v>2118</v>
      </c>
      <c r="G799" t="s">
        <v>2126</v>
      </c>
      <c r="H799" t="s">
        <v>2137</v>
      </c>
      <c r="I799" t="s">
        <v>2143</v>
      </c>
      <c r="J799" t="s">
        <v>2146</v>
      </c>
      <c r="K799" t="s">
        <v>2164</v>
      </c>
      <c r="L799" s="3">
        <v>1</v>
      </c>
      <c r="M799" s="2">
        <v>18049.61</v>
      </c>
      <c r="N799" s="5">
        <v>0.05</v>
      </c>
      <c r="O799" s="2">
        <v>17147.13</v>
      </c>
      <c r="P799" s="2">
        <v>1662.08</v>
      </c>
      <c r="Q799" t="s">
        <v>2167</v>
      </c>
    </row>
    <row r="800" spans="1:17">
      <c r="A800" t="s">
        <v>815</v>
      </c>
      <c r="B800" s="1">
        <v>45849</v>
      </c>
      <c r="C800" t="s">
        <v>1760</v>
      </c>
      <c r="D800" t="s">
        <v>2058</v>
      </c>
      <c r="E800" t="s">
        <v>2113</v>
      </c>
      <c r="F800" t="s">
        <v>2118</v>
      </c>
      <c r="G800" t="s">
        <v>2128</v>
      </c>
      <c r="H800" t="s">
        <v>2128</v>
      </c>
      <c r="I800" t="s">
        <v>2143</v>
      </c>
      <c r="J800" t="s">
        <v>2148</v>
      </c>
      <c r="K800" t="s">
        <v>2156</v>
      </c>
      <c r="L800" s="3">
        <v>1</v>
      </c>
      <c r="M800" s="2">
        <v>1216.6500000000001</v>
      </c>
      <c r="N800" s="5">
        <v>0.2</v>
      </c>
      <c r="O800" s="2">
        <v>973.32</v>
      </c>
      <c r="P800" s="2">
        <v>147.54</v>
      </c>
      <c r="Q800" t="s">
        <v>2167</v>
      </c>
    </row>
    <row r="801" spans="1:17">
      <c r="A801" t="s">
        <v>816</v>
      </c>
      <c r="B801" s="1">
        <v>45850</v>
      </c>
      <c r="C801" t="s">
        <v>1798</v>
      </c>
      <c r="D801" t="s">
        <v>2096</v>
      </c>
      <c r="E801" t="s">
        <v>2113</v>
      </c>
      <c r="F801" t="s">
        <v>2118</v>
      </c>
      <c r="G801" t="s">
        <v>2122</v>
      </c>
      <c r="H801" t="s">
        <v>2133</v>
      </c>
      <c r="I801" t="s">
        <v>2144</v>
      </c>
      <c r="J801" t="s">
        <v>2152</v>
      </c>
      <c r="K801" t="s">
        <v>2166</v>
      </c>
      <c r="L801" s="3">
        <v>4</v>
      </c>
      <c r="M801" s="2">
        <v>610.77</v>
      </c>
      <c r="N801" s="5">
        <v>0.05</v>
      </c>
      <c r="O801" s="2">
        <v>2320.9299999999998</v>
      </c>
      <c r="P801" s="2">
        <v>638.01</v>
      </c>
      <c r="Q801" t="s">
        <v>2167</v>
      </c>
    </row>
    <row r="802" spans="1:17">
      <c r="A802" t="s">
        <v>817</v>
      </c>
      <c r="B802" s="1">
        <v>45850</v>
      </c>
      <c r="C802" t="s">
        <v>1518</v>
      </c>
      <c r="D802" t="s">
        <v>1816</v>
      </c>
      <c r="E802" t="s">
        <v>2115</v>
      </c>
      <c r="F802" t="s">
        <v>2117</v>
      </c>
      <c r="G802" t="s">
        <v>2123</v>
      </c>
      <c r="H802" t="s">
        <v>2134</v>
      </c>
      <c r="I802" t="s">
        <v>2142</v>
      </c>
      <c r="J802" t="s">
        <v>2145</v>
      </c>
      <c r="K802" t="s">
        <v>2165</v>
      </c>
      <c r="L802" s="3">
        <v>2</v>
      </c>
      <c r="M802" s="2">
        <v>6449.32</v>
      </c>
      <c r="N802" s="5">
        <v>0.15</v>
      </c>
      <c r="O802" s="2">
        <v>10963.84</v>
      </c>
      <c r="P802" s="2">
        <v>1377.84</v>
      </c>
      <c r="Q802" t="s">
        <v>2168</v>
      </c>
    </row>
    <row r="803" spans="1:17">
      <c r="A803" t="s">
        <v>818</v>
      </c>
      <c r="B803" s="1">
        <v>45850</v>
      </c>
      <c r="C803" t="s">
        <v>1801</v>
      </c>
      <c r="D803" t="s">
        <v>2099</v>
      </c>
      <c r="E803" t="s">
        <v>2113</v>
      </c>
      <c r="F803" t="s">
        <v>2117</v>
      </c>
      <c r="G803" t="s">
        <v>2125</v>
      </c>
      <c r="H803" t="s">
        <v>2136</v>
      </c>
      <c r="I803" t="s">
        <v>2143</v>
      </c>
      <c r="J803" t="s">
        <v>2149</v>
      </c>
      <c r="K803" t="s">
        <v>2158</v>
      </c>
      <c r="L803" s="3">
        <v>3</v>
      </c>
      <c r="M803" s="2">
        <v>47222.26</v>
      </c>
      <c r="N803" s="5">
        <v>0</v>
      </c>
      <c r="O803" s="2">
        <v>141666.78</v>
      </c>
      <c r="P803" s="2">
        <v>20651.95</v>
      </c>
      <c r="Q803" t="s">
        <v>2168</v>
      </c>
    </row>
    <row r="804" spans="1:17">
      <c r="A804" t="s">
        <v>819</v>
      </c>
      <c r="B804" s="1">
        <v>45850</v>
      </c>
      <c r="C804" t="s">
        <v>1676</v>
      </c>
      <c r="D804" t="s">
        <v>1974</v>
      </c>
      <c r="E804" t="s">
        <v>2114</v>
      </c>
      <c r="F804" t="s">
        <v>2116</v>
      </c>
      <c r="G804" t="s">
        <v>2127</v>
      </c>
      <c r="H804" t="s">
        <v>2138</v>
      </c>
      <c r="I804" t="s">
        <v>2144</v>
      </c>
      <c r="J804" t="s">
        <v>2147</v>
      </c>
      <c r="K804" t="s">
        <v>2155</v>
      </c>
      <c r="L804" s="3">
        <v>3</v>
      </c>
      <c r="M804" s="2">
        <v>753.48</v>
      </c>
      <c r="N804" s="5">
        <v>0.15</v>
      </c>
      <c r="O804" s="2">
        <v>1921.37</v>
      </c>
      <c r="P804" s="2">
        <v>627.27</v>
      </c>
      <c r="Q804" t="s">
        <v>2167</v>
      </c>
    </row>
    <row r="805" spans="1:17">
      <c r="A805" t="s">
        <v>820</v>
      </c>
      <c r="B805" s="1">
        <v>45850</v>
      </c>
      <c r="C805" t="s">
        <v>1604</v>
      </c>
      <c r="D805" t="s">
        <v>1902</v>
      </c>
      <c r="E805" t="s">
        <v>2115</v>
      </c>
      <c r="F805" t="s">
        <v>2119</v>
      </c>
      <c r="G805" t="s">
        <v>2129</v>
      </c>
      <c r="H805" t="s">
        <v>2139</v>
      </c>
      <c r="I805" t="s">
        <v>2143</v>
      </c>
      <c r="J805" t="s">
        <v>2149</v>
      </c>
      <c r="K805" t="s">
        <v>2163</v>
      </c>
      <c r="L805" s="3">
        <v>4</v>
      </c>
      <c r="M805" s="2">
        <v>66586.820000000007</v>
      </c>
      <c r="N805" s="5">
        <v>0</v>
      </c>
      <c r="O805" s="2">
        <v>266347.28000000003</v>
      </c>
      <c r="P805" s="2">
        <v>51354.69</v>
      </c>
      <c r="Q805" t="s">
        <v>2170</v>
      </c>
    </row>
    <row r="806" spans="1:17">
      <c r="A806" t="s">
        <v>821</v>
      </c>
      <c r="B806" s="1">
        <v>45850</v>
      </c>
      <c r="C806" t="s">
        <v>1675</v>
      </c>
      <c r="D806" t="s">
        <v>1973</v>
      </c>
      <c r="E806" t="s">
        <v>2114</v>
      </c>
      <c r="F806" t="s">
        <v>2119</v>
      </c>
      <c r="G806" t="s">
        <v>2124</v>
      </c>
      <c r="H806" t="s">
        <v>2135</v>
      </c>
      <c r="I806" t="s">
        <v>2142</v>
      </c>
      <c r="J806" t="s">
        <v>2145</v>
      </c>
      <c r="K806" t="s">
        <v>2165</v>
      </c>
      <c r="L806" s="3">
        <v>1</v>
      </c>
      <c r="M806" s="2">
        <v>6182.25</v>
      </c>
      <c r="N806" s="5">
        <v>0</v>
      </c>
      <c r="O806" s="2">
        <v>6182.25</v>
      </c>
      <c r="P806" s="2">
        <v>981.57</v>
      </c>
      <c r="Q806" t="s">
        <v>2169</v>
      </c>
    </row>
    <row r="807" spans="1:17">
      <c r="A807" t="s">
        <v>822</v>
      </c>
      <c r="B807" s="1">
        <v>45850</v>
      </c>
      <c r="C807" t="s">
        <v>1595</v>
      </c>
      <c r="D807" t="s">
        <v>1893</v>
      </c>
      <c r="E807" t="s">
        <v>2115</v>
      </c>
      <c r="F807" t="s">
        <v>2116</v>
      </c>
      <c r="G807" t="s">
        <v>2120</v>
      </c>
      <c r="H807" t="s">
        <v>2131</v>
      </c>
      <c r="I807" t="s">
        <v>2144</v>
      </c>
      <c r="J807" t="s">
        <v>2147</v>
      </c>
      <c r="K807" t="s">
        <v>2155</v>
      </c>
      <c r="L807" s="3">
        <v>1</v>
      </c>
      <c r="M807" s="2">
        <v>771.49</v>
      </c>
      <c r="N807" s="5">
        <v>0.05</v>
      </c>
      <c r="O807" s="2">
        <v>732.92</v>
      </c>
      <c r="P807" s="2">
        <v>248.48</v>
      </c>
      <c r="Q807" t="s">
        <v>2170</v>
      </c>
    </row>
    <row r="808" spans="1:17">
      <c r="A808" t="s">
        <v>823</v>
      </c>
      <c r="B808" s="1">
        <v>45851</v>
      </c>
      <c r="C808" t="s">
        <v>1724</v>
      </c>
      <c r="D808" t="s">
        <v>2022</v>
      </c>
      <c r="E808" t="s">
        <v>2115</v>
      </c>
      <c r="F808" t="s">
        <v>2119</v>
      </c>
      <c r="G808" t="s">
        <v>2130</v>
      </c>
      <c r="H808" t="s">
        <v>2141</v>
      </c>
      <c r="I808" t="s">
        <v>2144</v>
      </c>
      <c r="J808" t="s">
        <v>2147</v>
      </c>
      <c r="K808" t="s">
        <v>2155</v>
      </c>
      <c r="L808" s="3">
        <v>1</v>
      </c>
      <c r="M808" s="2">
        <v>737.23</v>
      </c>
      <c r="N808" s="5">
        <v>0</v>
      </c>
      <c r="O808" s="2">
        <v>737.23</v>
      </c>
      <c r="P808" s="2">
        <v>178.65</v>
      </c>
      <c r="Q808" t="s">
        <v>2170</v>
      </c>
    </row>
    <row r="809" spans="1:17">
      <c r="A809" t="s">
        <v>824</v>
      </c>
      <c r="B809" s="1">
        <v>45851</v>
      </c>
      <c r="C809" t="s">
        <v>1627</v>
      </c>
      <c r="D809" t="s">
        <v>1925</v>
      </c>
      <c r="E809" t="s">
        <v>2115</v>
      </c>
      <c r="F809" t="s">
        <v>2119</v>
      </c>
      <c r="G809" t="s">
        <v>2124</v>
      </c>
      <c r="H809" t="s">
        <v>2135</v>
      </c>
      <c r="I809" t="s">
        <v>2143</v>
      </c>
      <c r="J809" t="s">
        <v>2149</v>
      </c>
      <c r="K809" t="s">
        <v>2158</v>
      </c>
      <c r="L809" s="3">
        <v>1</v>
      </c>
      <c r="M809" s="2">
        <v>49327.14</v>
      </c>
      <c r="N809" s="5">
        <v>0.1</v>
      </c>
      <c r="O809" s="2">
        <v>44394.43</v>
      </c>
      <c r="P809" s="2">
        <v>7398.9</v>
      </c>
      <c r="Q809" t="s">
        <v>2168</v>
      </c>
    </row>
    <row r="810" spans="1:17">
      <c r="A810" t="s">
        <v>825</v>
      </c>
      <c r="B810" s="1">
        <v>45852</v>
      </c>
      <c r="C810" t="s">
        <v>1695</v>
      </c>
      <c r="D810" t="s">
        <v>1993</v>
      </c>
      <c r="E810" t="s">
        <v>2113</v>
      </c>
      <c r="F810" t="s">
        <v>2116</v>
      </c>
      <c r="G810" t="s">
        <v>2120</v>
      </c>
      <c r="H810" t="s">
        <v>2131</v>
      </c>
      <c r="I810" t="s">
        <v>2144</v>
      </c>
      <c r="J810" t="s">
        <v>2150</v>
      </c>
      <c r="K810" t="s">
        <v>2159</v>
      </c>
      <c r="L810" s="3">
        <v>1</v>
      </c>
      <c r="M810" s="2">
        <v>468.32</v>
      </c>
      <c r="N810" s="5">
        <v>0.15</v>
      </c>
      <c r="O810" s="2">
        <v>398.07</v>
      </c>
      <c r="P810" s="2">
        <v>95.5</v>
      </c>
      <c r="Q810" t="s">
        <v>2169</v>
      </c>
    </row>
    <row r="811" spans="1:17">
      <c r="A811" t="s">
        <v>826</v>
      </c>
      <c r="B811" s="1">
        <v>45852</v>
      </c>
      <c r="C811" t="s">
        <v>1678</v>
      </c>
      <c r="D811" t="s">
        <v>1976</v>
      </c>
      <c r="E811" t="s">
        <v>2115</v>
      </c>
      <c r="F811" t="s">
        <v>2116</v>
      </c>
      <c r="G811" t="s">
        <v>2120</v>
      </c>
      <c r="H811" t="s">
        <v>2131</v>
      </c>
      <c r="I811" t="s">
        <v>2144</v>
      </c>
      <c r="J811" t="s">
        <v>2152</v>
      </c>
      <c r="K811" t="s">
        <v>2166</v>
      </c>
      <c r="L811" s="3">
        <v>2</v>
      </c>
      <c r="M811" s="2">
        <v>602.16999999999996</v>
      </c>
      <c r="N811" s="5">
        <v>0.05</v>
      </c>
      <c r="O811" s="2">
        <v>1144.1199999999999</v>
      </c>
      <c r="P811" s="2">
        <v>323.7</v>
      </c>
      <c r="Q811" t="s">
        <v>2169</v>
      </c>
    </row>
    <row r="812" spans="1:17">
      <c r="A812" t="s">
        <v>827</v>
      </c>
      <c r="B812" s="1">
        <v>45852</v>
      </c>
      <c r="C812" t="s">
        <v>1552</v>
      </c>
      <c r="D812" t="s">
        <v>1850</v>
      </c>
      <c r="E812" t="s">
        <v>2114</v>
      </c>
      <c r="F812" t="s">
        <v>2117</v>
      </c>
      <c r="G812" t="s">
        <v>2125</v>
      </c>
      <c r="H812" t="s">
        <v>2136</v>
      </c>
      <c r="I812" t="s">
        <v>2142</v>
      </c>
      <c r="J812" t="s">
        <v>2151</v>
      </c>
      <c r="K812" t="s">
        <v>2160</v>
      </c>
      <c r="L812" s="3">
        <v>3</v>
      </c>
      <c r="M812" s="2">
        <v>8101.26</v>
      </c>
      <c r="N812" s="5">
        <v>0.1</v>
      </c>
      <c r="O812" s="2">
        <v>21873.4</v>
      </c>
      <c r="P812" s="2">
        <v>2964.69</v>
      </c>
      <c r="Q812" t="s">
        <v>2170</v>
      </c>
    </row>
    <row r="813" spans="1:17">
      <c r="A813" t="s">
        <v>828</v>
      </c>
      <c r="B813" s="1">
        <v>45853</v>
      </c>
      <c r="C813" t="s">
        <v>1621</v>
      </c>
      <c r="D813" t="s">
        <v>1919</v>
      </c>
      <c r="E813" t="s">
        <v>2114</v>
      </c>
      <c r="F813" t="s">
        <v>2118</v>
      </c>
      <c r="G813" t="s">
        <v>2122</v>
      </c>
      <c r="H813" t="s">
        <v>2133</v>
      </c>
      <c r="I813" t="s">
        <v>2143</v>
      </c>
      <c r="J813" t="s">
        <v>2149</v>
      </c>
      <c r="K813" t="s">
        <v>2158</v>
      </c>
      <c r="L813" s="3">
        <v>3</v>
      </c>
      <c r="M813" s="2">
        <v>48871.75</v>
      </c>
      <c r="N813" s="5">
        <v>0.05</v>
      </c>
      <c r="O813" s="2">
        <v>139284.49</v>
      </c>
      <c r="P813" s="2">
        <v>16634.57</v>
      </c>
      <c r="Q813" t="s">
        <v>2169</v>
      </c>
    </row>
    <row r="814" spans="1:17">
      <c r="A814" t="s">
        <v>829</v>
      </c>
      <c r="B814" s="1">
        <v>45853</v>
      </c>
      <c r="C814" t="s">
        <v>1635</v>
      </c>
      <c r="D814" t="s">
        <v>1933</v>
      </c>
      <c r="E814" t="s">
        <v>2114</v>
      </c>
      <c r="F814" t="s">
        <v>2117</v>
      </c>
      <c r="G814" t="s">
        <v>2121</v>
      </c>
      <c r="H814" t="s">
        <v>2132</v>
      </c>
      <c r="I814" t="s">
        <v>2143</v>
      </c>
      <c r="J814" t="s">
        <v>2149</v>
      </c>
      <c r="K814" t="s">
        <v>2158</v>
      </c>
      <c r="L814" s="3">
        <v>4</v>
      </c>
      <c r="M814" s="2">
        <v>45864.18</v>
      </c>
      <c r="N814" s="5">
        <v>0</v>
      </c>
      <c r="O814" s="2">
        <v>183456.72</v>
      </c>
      <c r="P814" s="2">
        <v>19488.43</v>
      </c>
      <c r="Q814" t="s">
        <v>2168</v>
      </c>
    </row>
    <row r="815" spans="1:17">
      <c r="A815" t="s">
        <v>830</v>
      </c>
      <c r="B815" s="1">
        <v>45853</v>
      </c>
      <c r="C815" t="s">
        <v>1664</v>
      </c>
      <c r="D815" t="s">
        <v>1962</v>
      </c>
      <c r="E815" t="s">
        <v>2114</v>
      </c>
      <c r="F815" t="s">
        <v>2117</v>
      </c>
      <c r="G815" t="s">
        <v>2125</v>
      </c>
      <c r="H815" t="s">
        <v>2136</v>
      </c>
      <c r="I815" t="s">
        <v>2143</v>
      </c>
      <c r="J815" t="s">
        <v>2148</v>
      </c>
      <c r="K815" t="s">
        <v>2156</v>
      </c>
      <c r="L815" s="3">
        <v>2</v>
      </c>
      <c r="M815" s="2">
        <v>1140.1400000000001</v>
      </c>
      <c r="N815" s="5">
        <v>0</v>
      </c>
      <c r="O815" s="2">
        <v>2280.2800000000002</v>
      </c>
      <c r="P815" s="2">
        <v>379.11</v>
      </c>
      <c r="Q815" t="s">
        <v>2167</v>
      </c>
    </row>
    <row r="816" spans="1:17">
      <c r="A816" t="s">
        <v>831</v>
      </c>
      <c r="B816" s="1">
        <v>45853</v>
      </c>
      <c r="C816" t="s">
        <v>1802</v>
      </c>
      <c r="D816" t="s">
        <v>2100</v>
      </c>
      <c r="E816" t="s">
        <v>2114</v>
      </c>
      <c r="F816" t="s">
        <v>2116</v>
      </c>
      <c r="G816" t="s">
        <v>2127</v>
      </c>
      <c r="H816" t="s">
        <v>2138</v>
      </c>
      <c r="I816" t="s">
        <v>2143</v>
      </c>
      <c r="J816" t="s">
        <v>2146</v>
      </c>
      <c r="K816" t="s">
        <v>2164</v>
      </c>
      <c r="L816" s="3">
        <v>4</v>
      </c>
      <c r="M816" s="2">
        <v>17823.259999999998</v>
      </c>
      <c r="N816" s="5">
        <v>0.1</v>
      </c>
      <c r="O816" s="2">
        <v>64163.74</v>
      </c>
      <c r="P816" s="2">
        <v>4001.56</v>
      </c>
      <c r="Q816" t="s">
        <v>2167</v>
      </c>
    </row>
    <row r="817" spans="1:17">
      <c r="A817" t="s">
        <v>832</v>
      </c>
      <c r="B817" s="1">
        <v>45853</v>
      </c>
      <c r="C817" t="s">
        <v>1597</v>
      </c>
      <c r="D817" t="s">
        <v>1895</v>
      </c>
      <c r="E817" t="s">
        <v>2115</v>
      </c>
      <c r="F817" t="s">
        <v>2117</v>
      </c>
      <c r="G817" t="s">
        <v>2123</v>
      </c>
      <c r="H817" t="s">
        <v>2134</v>
      </c>
      <c r="I817" t="s">
        <v>2144</v>
      </c>
      <c r="J817" t="s">
        <v>2152</v>
      </c>
      <c r="K817" t="s">
        <v>2166</v>
      </c>
      <c r="L817" s="3">
        <v>4</v>
      </c>
      <c r="M817" s="2">
        <v>610.29999999999995</v>
      </c>
      <c r="N817" s="5">
        <v>0.15</v>
      </c>
      <c r="O817" s="2">
        <v>2075.02</v>
      </c>
      <c r="P817" s="2">
        <v>251.67</v>
      </c>
      <c r="Q817" t="s">
        <v>2168</v>
      </c>
    </row>
    <row r="818" spans="1:17">
      <c r="A818" t="s">
        <v>833</v>
      </c>
      <c r="B818" s="1">
        <v>45853</v>
      </c>
      <c r="C818" t="s">
        <v>1803</v>
      </c>
      <c r="D818" t="s">
        <v>2101</v>
      </c>
      <c r="E818" t="s">
        <v>2114</v>
      </c>
      <c r="F818" t="s">
        <v>2116</v>
      </c>
      <c r="G818" t="s">
        <v>2127</v>
      </c>
      <c r="H818" t="s">
        <v>2138</v>
      </c>
      <c r="I818" t="s">
        <v>2142</v>
      </c>
      <c r="J818" t="s">
        <v>2145</v>
      </c>
      <c r="K818" t="s">
        <v>2165</v>
      </c>
      <c r="L818" s="3">
        <v>5</v>
      </c>
      <c r="M818" s="2">
        <v>6695.89</v>
      </c>
      <c r="N818" s="5">
        <v>0.1</v>
      </c>
      <c r="O818" s="2">
        <v>30131.51</v>
      </c>
      <c r="P818" s="2">
        <v>4978.1400000000003</v>
      </c>
      <c r="Q818" t="s">
        <v>2167</v>
      </c>
    </row>
    <row r="819" spans="1:17">
      <c r="A819" t="s">
        <v>834</v>
      </c>
      <c r="B819" s="1">
        <v>45854</v>
      </c>
      <c r="C819" t="s">
        <v>1728</v>
      </c>
      <c r="D819" t="s">
        <v>2026</v>
      </c>
      <c r="E819" t="s">
        <v>2114</v>
      </c>
      <c r="F819" t="s">
        <v>2116</v>
      </c>
      <c r="G819" t="s">
        <v>2127</v>
      </c>
      <c r="H819" t="s">
        <v>2140</v>
      </c>
      <c r="I819" t="s">
        <v>2142</v>
      </c>
      <c r="J819" t="s">
        <v>2147</v>
      </c>
      <c r="K819" t="s">
        <v>2157</v>
      </c>
      <c r="L819" s="3">
        <v>3</v>
      </c>
      <c r="M819" s="2">
        <v>13810.42</v>
      </c>
      <c r="N819" s="5">
        <v>0.1</v>
      </c>
      <c r="O819" s="2">
        <v>37288.129999999997</v>
      </c>
      <c r="P819" s="2">
        <v>6247.85</v>
      </c>
      <c r="Q819" t="s">
        <v>2168</v>
      </c>
    </row>
    <row r="820" spans="1:17">
      <c r="A820" t="s">
        <v>835</v>
      </c>
      <c r="B820" s="1">
        <v>45854</v>
      </c>
      <c r="C820" t="s">
        <v>1523</v>
      </c>
      <c r="D820" t="s">
        <v>1821</v>
      </c>
      <c r="E820" t="s">
        <v>2113</v>
      </c>
      <c r="F820" t="s">
        <v>2118</v>
      </c>
      <c r="G820" t="s">
        <v>2122</v>
      </c>
      <c r="H820" t="s">
        <v>2133</v>
      </c>
      <c r="I820" t="s">
        <v>2144</v>
      </c>
      <c r="J820" t="s">
        <v>2152</v>
      </c>
      <c r="K820" t="s">
        <v>2166</v>
      </c>
      <c r="L820" s="3">
        <v>1</v>
      </c>
      <c r="M820" s="2">
        <v>591.69000000000005</v>
      </c>
      <c r="N820" s="5">
        <v>0</v>
      </c>
      <c r="O820" s="2">
        <v>591.69000000000005</v>
      </c>
      <c r="P820" s="2">
        <v>99.66</v>
      </c>
      <c r="Q820" t="s">
        <v>2167</v>
      </c>
    </row>
    <row r="821" spans="1:17">
      <c r="A821" t="s">
        <v>836</v>
      </c>
      <c r="B821" s="1">
        <v>45854</v>
      </c>
      <c r="C821" t="s">
        <v>1789</v>
      </c>
      <c r="D821" t="s">
        <v>2087</v>
      </c>
      <c r="E821" t="s">
        <v>2115</v>
      </c>
      <c r="F821" t="s">
        <v>2119</v>
      </c>
      <c r="G821" t="s">
        <v>2129</v>
      </c>
      <c r="H821" t="s">
        <v>2139</v>
      </c>
      <c r="I821" t="s">
        <v>2142</v>
      </c>
      <c r="J821" t="s">
        <v>2147</v>
      </c>
      <c r="K821" t="s">
        <v>2157</v>
      </c>
      <c r="L821" s="3">
        <v>4</v>
      </c>
      <c r="M821" s="2">
        <v>14903.64</v>
      </c>
      <c r="N821" s="5">
        <v>0</v>
      </c>
      <c r="O821" s="2">
        <v>59614.559999999998</v>
      </c>
      <c r="P821" s="2">
        <v>12958.5</v>
      </c>
      <c r="Q821" t="s">
        <v>2170</v>
      </c>
    </row>
    <row r="822" spans="1:17">
      <c r="A822" t="s">
        <v>837</v>
      </c>
      <c r="B822" s="1">
        <v>45854</v>
      </c>
      <c r="C822" t="s">
        <v>1543</v>
      </c>
      <c r="D822" t="s">
        <v>1841</v>
      </c>
      <c r="E822" t="s">
        <v>2115</v>
      </c>
      <c r="F822" t="s">
        <v>2119</v>
      </c>
      <c r="G822" t="s">
        <v>2129</v>
      </c>
      <c r="H822" t="s">
        <v>2139</v>
      </c>
      <c r="I822" t="s">
        <v>2142</v>
      </c>
      <c r="J822" t="s">
        <v>2151</v>
      </c>
      <c r="K822" t="s">
        <v>2160</v>
      </c>
      <c r="L822" s="3">
        <v>1</v>
      </c>
      <c r="M822" s="2">
        <v>8536.4500000000007</v>
      </c>
      <c r="N822" s="5">
        <v>0.1</v>
      </c>
      <c r="O822" s="2">
        <v>7682.81</v>
      </c>
      <c r="P822" s="2">
        <v>1844.92</v>
      </c>
      <c r="Q822" t="s">
        <v>2169</v>
      </c>
    </row>
    <row r="823" spans="1:17">
      <c r="A823" t="s">
        <v>838</v>
      </c>
      <c r="B823" s="1">
        <v>45854</v>
      </c>
      <c r="C823" t="s">
        <v>1771</v>
      </c>
      <c r="D823" t="s">
        <v>2069</v>
      </c>
      <c r="E823" t="s">
        <v>2114</v>
      </c>
      <c r="F823" t="s">
        <v>2117</v>
      </c>
      <c r="G823" t="s">
        <v>2125</v>
      </c>
      <c r="H823" t="s">
        <v>2136</v>
      </c>
      <c r="I823" t="s">
        <v>2142</v>
      </c>
      <c r="J823" t="s">
        <v>2145</v>
      </c>
      <c r="K823" t="s">
        <v>2165</v>
      </c>
      <c r="L823" s="3">
        <v>1</v>
      </c>
      <c r="M823" s="2">
        <v>6751.92</v>
      </c>
      <c r="N823" s="5">
        <v>0</v>
      </c>
      <c r="O823" s="2">
        <v>6751.92</v>
      </c>
      <c r="P823" s="2">
        <v>1318.8</v>
      </c>
      <c r="Q823" t="s">
        <v>2169</v>
      </c>
    </row>
    <row r="824" spans="1:17">
      <c r="A824" t="s">
        <v>839</v>
      </c>
      <c r="B824" s="1">
        <v>45855</v>
      </c>
      <c r="C824" t="s">
        <v>1598</v>
      </c>
      <c r="D824" t="s">
        <v>1896</v>
      </c>
      <c r="E824" t="s">
        <v>2114</v>
      </c>
      <c r="F824" t="s">
        <v>2118</v>
      </c>
      <c r="G824" t="s">
        <v>2128</v>
      </c>
      <c r="H824" t="s">
        <v>2128</v>
      </c>
      <c r="I824" t="s">
        <v>2144</v>
      </c>
      <c r="J824" t="s">
        <v>2150</v>
      </c>
      <c r="K824" t="s">
        <v>2159</v>
      </c>
      <c r="L824" s="3">
        <v>2</v>
      </c>
      <c r="M824" s="2">
        <v>440.17</v>
      </c>
      <c r="N824" s="5">
        <v>0.1</v>
      </c>
      <c r="O824" s="2">
        <v>792.31</v>
      </c>
      <c r="P824" s="2">
        <v>120.35</v>
      </c>
      <c r="Q824" t="s">
        <v>2167</v>
      </c>
    </row>
    <row r="825" spans="1:17">
      <c r="A825" t="s">
        <v>840</v>
      </c>
      <c r="B825" s="1">
        <v>45855</v>
      </c>
      <c r="C825" t="s">
        <v>1769</v>
      </c>
      <c r="D825" t="s">
        <v>2067</v>
      </c>
      <c r="E825" t="s">
        <v>2114</v>
      </c>
      <c r="F825" t="s">
        <v>2116</v>
      </c>
      <c r="G825" t="s">
        <v>2127</v>
      </c>
      <c r="H825" t="s">
        <v>2138</v>
      </c>
      <c r="I825" t="s">
        <v>2142</v>
      </c>
      <c r="J825" t="s">
        <v>2145</v>
      </c>
      <c r="K825" t="s">
        <v>2153</v>
      </c>
      <c r="L825" s="3">
        <v>1</v>
      </c>
      <c r="M825" s="2">
        <v>11461.99</v>
      </c>
      <c r="N825" s="5">
        <v>0.1</v>
      </c>
      <c r="O825" s="2">
        <v>10315.790000000001</v>
      </c>
      <c r="P825" s="2">
        <v>1496.6</v>
      </c>
      <c r="Q825" t="s">
        <v>2170</v>
      </c>
    </row>
    <row r="826" spans="1:17">
      <c r="A826" t="s">
        <v>841</v>
      </c>
      <c r="B826" s="1">
        <v>45856</v>
      </c>
      <c r="C826" t="s">
        <v>1738</v>
      </c>
      <c r="D826" t="s">
        <v>2036</v>
      </c>
      <c r="E826" t="s">
        <v>2114</v>
      </c>
      <c r="F826" t="s">
        <v>2118</v>
      </c>
      <c r="G826" t="s">
        <v>2126</v>
      </c>
      <c r="H826" t="s">
        <v>2137</v>
      </c>
      <c r="I826" t="s">
        <v>2143</v>
      </c>
      <c r="J826" t="s">
        <v>2146</v>
      </c>
      <c r="K826" t="s">
        <v>2164</v>
      </c>
      <c r="L826" s="3">
        <v>1</v>
      </c>
      <c r="M826" s="2">
        <v>17280.41</v>
      </c>
      <c r="N826" s="5">
        <v>0.05</v>
      </c>
      <c r="O826" s="2">
        <v>16416.39</v>
      </c>
      <c r="P826" s="2">
        <v>2908.36</v>
      </c>
      <c r="Q826" t="s">
        <v>2167</v>
      </c>
    </row>
    <row r="827" spans="1:17">
      <c r="A827" t="s">
        <v>842</v>
      </c>
      <c r="B827" s="1">
        <v>45856</v>
      </c>
      <c r="C827" t="s">
        <v>1672</v>
      </c>
      <c r="D827" t="s">
        <v>1970</v>
      </c>
      <c r="E827" t="s">
        <v>2113</v>
      </c>
      <c r="F827" t="s">
        <v>2117</v>
      </c>
      <c r="G827" t="s">
        <v>2123</v>
      </c>
      <c r="H827" t="s">
        <v>2134</v>
      </c>
      <c r="I827" t="s">
        <v>2143</v>
      </c>
      <c r="J827" t="s">
        <v>2148</v>
      </c>
      <c r="K827" t="s">
        <v>2156</v>
      </c>
      <c r="L827" s="3">
        <v>1</v>
      </c>
      <c r="M827" s="2">
        <v>1243.0899999999999</v>
      </c>
      <c r="N827" s="5">
        <v>0.15</v>
      </c>
      <c r="O827" s="2">
        <v>1056.6300000000001</v>
      </c>
      <c r="P827" s="2">
        <v>75.819999999999993</v>
      </c>
      <c r="Q827" t="s">
        <v>2170</v>
      </c>
    </row>
    <row r="828" spans="1:17">
      <c r="A828" t="s">
        <v>843</v>
      </c>
      <c r="B828" s="1">
        <v>45856</v>
      </c>
      <c r="C828" t="s">
        <v>1779</v>
      </c>
      <c r="D828" t="s">
        <v>2077</v>
      </c>
      <c r="E828" t="s">
        <v>2113</v>
      </c>
      <c r="F828" t="s">
        <v>2116</v>
      </c>
      <c r="G828" t="s">
        <v>2120</v>
      </c>
      <c r="H828" t="s">
        <v>2131</v>
      </c>
      <c r="I828" t="s">
        <v>2144</v>
      </c>
      <c r="J828" t="s">
        <v>2152</v>
      </c>
      <c r="K828" t="s">
        <v>2166</v>
      </c>
      <c r="L828" s="3">
        <v>2</v>
      </c>
      <c r="M828" s="2">
        <v>570.51</v>
      </c>
      <c r="N828" s="5">
        <v>0.05</v>
      </c>
      <c r="O828" s="2">
        <v>1083.97</v>
      </c>
      <c r="P828" s="2">
        <v>336.71</v>
      </c>
      <c r="Q828" t="s">
        <v>2170</v>
      </c>
    </row>
    <row r="829" spans="1:17">
      <c r="A829" t="s">
        <v>844</v>
      </c>
      <c r="B829" s="1">
        <v>45856</v>
      </c>
      <c r="C829" t="s">
        <v>1791</v>
      </c>
      <c r="D829" t="s">
        <v>2089</v>
      </c>
      <c r="E829" t="s">
        <v>2113</v>
      </c>
      <c r="F829" t="s">
        <v>2116</v>
      </c>
      <c r="G829" t="s">
        <v>2127</v>
      </c>
      <c r="H829" t="s">
        <v>2140</v>
      </c>
      <c r="I829" t="s">
        <v>2143</v>
      </c>
      <c r="J829" t="s">
        <v>2149</v>
      </c>
      <c r="K829" t="s">
        <v>2163</v>
      </c>
      <c r="L829" s="3">
        <v>5</v>
      </c>
      <c r="M829" s="2">
        <v>67940.73</v>
      </c>
      <c r="N829" s="5">
        <v>0.05</v>
      </c>
      <c r="O829" s="2">
        <v>322718.46999999997</v>
      </c>
      <c r="P829" s="2">
        <v>59482.99</v>
      </c>
      <c r="Q829" t="s">
        <v>2170</v>
      </c>
    </row>
    <row r="830" spans="1:17">
      <c r="A830" t="s">
        <v>845</v>
      </c>
      <c r="B830" s="1">
        <v>45856</v>
      </c>
      <c r="C830" t="s">
        <v>1703</v>
      </c>
      <c r="D830" t="s">
        <v>2001</v>
      </c>
      <c r="E830" t="s">
        <v>2115</v>
      </c>
      <c r="F830" t="s">
        <v>2118</v>
      </c>
      <c r="G830" t="s">
        <v>2128</v>
      </c>
      <c r="H830" t="s">
        <v>2128</v>
      </c>
      <c r="I830" t="s">
        <v>2143</v>
      </c>
      <c r="J830" t="s">
        <v>2149</v>
      </c>
      <c r="K830" t="s">
        <v>2163</v>
      </c>
      <c r="L830" s="3">
        <v>3</v>
      </c>
      <c r="M830" s="2">
        <v>67994.8</v>
      </c>
      <c r="N830" s="5">
        <v>0.1</v>
      </c>
      <c r="O830" s="2">
        <v>183585.96</v>
      </c>
      <c r="P830" s="2">
        <v>12547.39</v>
      </c>
      <c r="Q830" t="s">
        <v>2170</v>
      </c>
    </row>
    <row r="831" spans="1:17">
      <c r="A831" t="s">
        <v>846</v>
      </c>
      <c r="B831" s="1">
        <v>45857</v>
      </c>
      <c r="C831" t="s">
        <v>1700</v>
      </c>
      <c r="D831" t="s">
        <v>1998</v>
      </c>
      <c r="E831" t="s">
        <v>2114</v>
      </c>
      <c r="F831" t="s">
        <v>2118</v>
      </c>
      <c r="G831" t="s">
        <v>2126</v>
      </c>
      <c r="H831" t="s">
        <v>2137</v>
      </c>
      <c r="I831" t="s">
        <v>2142</v>
      </c>
      <c r="J831" t="s">
        <v>2145</v>
      </c>
      <c r="K831" t="s">
        <v>2153</v>
      </c>
      <c r="L831" s="3">
        <v>4</v>
      </c>
      <c r="M831" s="2">
        <v>11887.87</v>
      </c>
      <c r="N831" s="5">
        <v>0.05</v>
      </c>
      <c r="O831" s="2">
        <v>45173.91</v>
      </c>
      <c r="P831" s="2">
        <v>11382.13</v>
      </c>
      <c r="Q831" t="s">
        <v>2168</v>
      </c>
    </row>
    <row r="832" spans="1:17">
      <c r="A832" t="s">
        <v>847</v>
      </c>
      <c r="B832" s="1">
        <v>45857</v>
      </c>
      <c r="C832" t="s">
        <v>1781</v>
      </c>
      <c r="D832" t="s">
        <v>2079</v>
      </c>
      <c r="E832" t="s">
        <v>2115</v>
      </c>
      <c r="F832" t="s">
        <v>2119</v>
      </c>
      <c r="G832" t="s">
        <v>2124</v>
      </c>
      <c r="H832" t="s">
        <v>2135</v>
      </c>
      <c r="I832" t="s">
        <v>2144</v>
      </c>
      <c r="J832" t="s">
        <v>2152</v>
      </c>
      <c r="K832" t="s">
        <v>2166</v>
      </c>
      <c r="L832" s="3">
        <v>2</v>
      </c>
      <c r="M832" s="2">
        <v>626.86</v>
      </c>
      <c r="N832" s="5">
        <v>0</v>
      </c>
      <c r="O832" s="2">
        <v>1253.72</v>
      </c>
      <c r="P832" s="2">
        <v>409.28</v>
      </c>
      <c r="Q832" t="s">
        <v>2168</v>
      </c>
    </row>
    <row r="833" spans="1:17">
      <c r="A833" t="s">
        <v>848</v>
      </c>
      <c r="B833" s="1">
        <v>45858</v>
      </c>
      <c r="C833" t="s">
        <v>1682</v>
      </c>
      <c r="D833" t="s">
        <v>1980</v>
      </c>
      <c r="E833" t="s">
        <v>2114</v>
      </c>
      <c r="F833" t="s">
        <v>2117</v>
      </c>
      <c r="G833" t="s">
        <v>2121</v>
      </c>
      <c r="H833" t="s">
        <v>2132</v>
      </c>
      <c r="I833" t="s">
        <v>2142</v>
      </c>
      <c r="J833" t="s">
        <v>2151</v>
      </c>
      <c r="K833" t="s">
        <v>2160</v>
      </c>
      <c r="L833" s="3">
        <v>2</v>
      </c>
      <c r="M833" s="2">
        <v>8705.43</v>
      </c>
      <c r="N833" s="5">
        <v>0.1</v>
      </c>
      <c r="O833" s="2">
        <v>15669.77</v>
      </c>
      <c r="P833" s="2">
        <v>3318.1</v>
      </c>
      <c r="Q833" t="s">
        <v>2169</v>
      </c>
    </row>
    <row r="834" spans="1:17">
      <c r="A834" t="s">
        <v>849</v>
      </c>
      <c r="B834" s="1">
        <v>45858</v>
      </c>
      <c r="C834" t="s">
        <v>1525</v>
      </c>
      <c r="D834" t="s">
        <v>1823</v>
      </c>
      <c r="E834" t="s">
        <v>2115</v>
      </c>
      <c r="F834" t="s">
        <v>2119</v>
      </c>
      <c r="G834" t="s">
        <v>2130</v>
      </c>
      <c r="H834" t="s">
        <v>2141</v>
      </c>
      <c r="I834" t="s">
        <v>2143</v>
      </c>
      <c r="J834" t="s">
        <v>2149</v>
      </c>
      <c r="K834" t="s">
        <v>2163</v>
      </c>
      <c r="L834" s="3">
        <v>2</v>
      </c>
      <c r="M834" s="2">
        <v>64168.28</v>
      </c>
      <c r="N834" s="5">
        <v>0.1</v>
      </c>
      <c r="O834" s="2">
        <v>115502.9</v>
      </c>
      <c r="P834" s="2">
        <v>8257.93</v>
      </c>
      <c r="Q834" t="s">
        <v>2169</v>
      </c>
    </row>
    <row r="835" spans="1:17">
      <c r="A835" t="s">
        <v>850</v>
      </c>
      <c r="B835" s="1">
        <v>45858</v>
      </c>
      <c r="C835" t="s">
        <v>1708</v>
      </c>
      <c r="D835" t="s">
        <v>2006</v>
      </c>
      <c r="E835" t="s">
        <v>2114</v>
      </c>
      <c r="F835" t="s">
        <v>2116</v>
      </c>
      <c r="G835" t="s">
        <v>2127</v>
      </c>
      <c r="H835" t="s">
        <v>2140</v>
      </c>
      <c r="I835" t="s">
        <v>2142</v>
      </c>
      <c r="J835" t="s">
        <v>2147</v>
      </c>
      <c r="K835" t="s">
        <v>2157</v>
      </c>
      <c r="L835" s="3">
        <v>2</v>
      </c>
      <c r="M835" s="2">
        <v>14051.62</v>
      </c>
      <c r="N835" s="5">
        <v>0</v>
      </c>
      <c r="O835" s="2">
        <v>28103.24</v>
      </c>
      <c r="P835" s="2">
        <v>4815.6499999999996</v>
      </c>
      <c r="Q835" t="s">
        <v>2170</v>
      </c>
    </row>
    <row r="836" spans="1:17">
      <c r="A836" t="s">
        <v>851</v>
      </c>
      <c r="B836" s="1">
        <v>45858</v>
      </c>
      <c r="C836" t="s">
        <v>1796</v>
      </c>
      <c r="D836" t="s">
        <v>2094</v>
      </c>
      <c r="E836" t="s">
        <v>2114</v>
      </c>
      <c r="F836" t="s">
        <v>2116</v>
      </c>
      <c r="G836" t="s">
        <v>2127</v>
      </c>
      <c r="H836" t="s">
        <v>2140</v>
      </c>
      <c r="I836" t="s">
        <v>2143</v>
      </c>
      <c r="J836" t="s">
        <v>2149</v>
      </c>
      <c r="K836" t="s">
        <v>2163</v>
      </c>
      <c r="L836" s="3">
        <v>3</v>
      </c>
      <c r="M836" s="2">
        <v>66217.919999999998</v>
      </c>
      <c r="N836" s="5">
        <v>0.1</v>
      </c>
      <c r="O836" s="2">
        <v>178788.38</v>
      </c>
      <c r="P836" s="2">
        <v>20666.8</v>
      </c>
      <c r="Q836" t="s">
        <v>2167</v>
      </c>
    </row>
    <row r="837" spans="1:17">
      <c r="A837" t="s">
        <v>852</v>
      </c>
      <c r="B837" s="1">
        <v>45858</v>
      </c>
      <c r="C837" t="s">
        <v>1612</v>
      </c>
      <c r="D837" t="s">
        <v>1910</v>
      </c>
      <c r="E837" t="s">
        <v>2113</v>
      </c>
      <c r="F837" t="s">
        <v>2117</v>
      </c>
      <c r="G837" t="s">
        <v>2123</v>
      </c>
      <c r="H837" t="s">
        <v>2134</v>
      </c>
      <c r="I837" t="s">
        <v>2143</v>
      </c>
      <c r="J837" t="s">
        <v>2146</v>
      </c>
      <c r="K837" t="s">
        <v>2164</v>
      </c>
      <c r="L837" s="3">
        <v>1</v>
      </c>
      <c r="M837" s="2">
        <v>18002.84</v>
      </c>
      <c r="N837" s="5">
        <v>0.05</v>
      </c>
      <c r="O837" s="2">
        <v>17102.7</v>
      </c>
      <c r="P837" s="2">
        <v>3187.79</v>
      </c>
      <c r="Q837" t="s">
        <v>2169</v>
      </c>
    </row>
    <row r="838" spans="1:17">
      <c r="A838" t="s">
        <v>853</v>
      </c>
      <c r="B838" s="1">
        <v>45858</v>
      </c>
      <c r="C838" t="s">
        <v>1745</v>
      </c>
      <c r="D838" t="s">
        <v>2043</v>
      </c>
      <c r="E838" t="s">
        <v>2114</v>
      </c>
      <c r="F838" t="s">
        <v>2117</v>
      </c>
      <c r="G838" t="s">
        <v>2121</v>
      </c>
      <c r="H838" t="s">
        <v>2132</v>
      </c>
      <c r="I838" t="s">
        <v>2142</v>
      </c>
      <c r="J838" t="s">
        <v>2145</v>
      </c>
      <c r="K838" t="s">
        <v>2153</v>
      </c>
      <c r="L838" s="3">
        <v>1</v>
      </c>
      <c r="M838" s="2">
        <v>11711.94</v>
      </c>
      <c r="N838" s="5">
        <v>0.05</v>
      </c>
      <c r="O838" s="2">
        <v>11126.34</v>
      </c>
      <c r="P838" s="2">
        <v>2081.9</v>
      </c>
      <c r="Q838" t="s">
        <v>2167</v>
      </c>
    </row>
    <row r="839" spans="1:17">
      <c r="A839" t="s">
        <v>854</v>
      </c>
      <c r="B839" s="1">
        <v>45859</v>
      </c>
      <c r="C839" t="s">
        <v>1796</v>
      </c>
      <c r="D839" t="s">
        <v>2094</v>
      </c>
      <c r="E839" t="s">
        <v>2113</v>
      </c>
      <c r="F839" t="s">
        <v>2117</v>
      </c>
      <c r="G839" t="s">
        <v>2123</v>
      </c>
      <c r="H839" t="s">
        <v>2134</v>
      </c>
      <c r="I839" t="s">
        <v>2143</v>
      </c>
      <c r="J839" t="s">
        <v>2146</v>
      </c>
      <c r="K839" t="s">
        <v>2164</v>
      </c>
      <c r="L839" s="3">
        <v>1</v>
      </c>
      <c r="M839" s="2">
        <v>18293.48</v>
      </c>
      <c r="N839" s="5">
        <v>0</v>
      </c>
      <c r="O839" s="2">
        <v>18293.48</v>
      </c>
      <c r="P839" s="2">
        <v>1468.29</v>
      </c>
      <c r="Q839" t="s">
        <v>2169</v>
      </c>
    </row>
    <row r="840" spans="1:17">
      <c r="A840" t="s">
        <v>855</v>
      </c>
      <c r="B840" s="1">
        <v>45859</v>
      </c>
      <c r="C840" t="s">
        <v>1526</v>
      </c>
      <c r="D840" t="s">
        <v>1824</v>
      </c>
      <c r="E840" t="s">
        <v>2115</v>
      </c>
      <c r="F840" t="s">
        <v>2117</v>
      </c>
      <c r="G840" t="s">
        <v>2121</v>
      </c>
      <c r="H840" t="s">
        <v>2132</v>
      </c>
      <c r="I840" t="s">
        <v>2143</v>
      </c>
      <c r="J840" t="s">
        <v>2146</v>
      </c>
      <c r="K840" t="s">
        <v>2164</v>
      </c>
      <c r="L840" s="3">
        <v>2</v>
      </c>
      <c r="M840" s="2">
        <v>17709.36</v>
      </c>
      <c r="N840" s="5">
        <v>0.05</v>
      </c>
      <c r="O840" s="2">
        <v>33647.78</v>
      </c>
      <c r="P840" s="2">
        <v>3087.71</v>
      </c>
      <c r="Q840" t="s">
        <v>2170</v>
      </c>
    </row>
    <row r="841" spans="1:17">
      <c r="A841" t="s">
        <v>856</v>
      </c>
      <c r="B841" s="1">
        <v>45859</v>
      </c>
      <c r="C841" t="s">
        <v>1674</v>
      </c>
      <c r="D841" t="s">
        <v>1972</v>
      </c>
      <c r="E841" t="s">
        <v>2114</v>
      </c>
      <c r="F841" t="s">
        <v>2118</v>
      </c>
      <c r="G841" t="s">
        <v>2126</v>
      </c>
      <c r="H841" t="s">
        <v>2137</v>
      </c>
      <c r="I841" t="s">
        <v>2142</v>
      </c>
      <c r="J841" t="s">
        <v>2151</v>
      </c>
      <c r="K841" t="s">
        <v>2160</v>
      </c>
      <c r="L841" s="3">
        <v>3</v>
      </c>
      <c r="M841" s="2">
        <v>8237.4599999999991</v>
      </c>
      <c r="N841" s="5">
        <v>0.2</v>
      </c>
      <c r="O841" s="2">
        <v>19769.900000000001</v>
      </c>
      <c r="P841" s="2">
        <v>2374.54</v>
      </c>
      <c r="Q841" t="s">
        <v>2168</v>
      </c>
    </row>
    <row r="842" spans="1:17">
      <c r="A842" t="s">
        <v>857</v>
      </c>
      <c r="B842" s="1">
        <v>45859</v>
      </c>
      <c r="C842" t="s">
        <v>1784</v>
      </c>
      <c r="D842" t="s">
        <v>2082</v>
      </c>
      <c r="E842" t="s">
        <v>2113</v>
      </c>
      <c r="F842" t="s">
        <v>2119</v>
      </c>
      <c r="G842" t="s">
        <v>2129</v>
      </c>
      <c r="H842" t="s">
        <v>2139</v>
      </c>
      <c r="I842" t="s">
        <v>2142</v>
      </c>
      <c r="J842" t="s">
        <v>2145</v>
      </c>
      <c r="K842" t="s">
        <v>2165</v>
      </c>
      <c r="L842" s="3">
        <v>2</v>
      </c>
      <c r="M842" s="2">
        <v>6217.69</v>
      </c>
      <c r="N842" s="5">
        <v>0.1</v>
      </c>
      <c r="O842" s="2">
        <v>11191.84</v>
      </c>
      <c r="P842" s="2">
        <v>1517.12</v>
      </c>
      <c r="Q842" t="s">
        <v>2169</v>
      </c>
    </row>
    <row r="843" spans="1:17">
      <c r="A843" t="s">
        <v>858</v>
      </c>
      <c r="B843" s="1">
        <v>45859</v>
      </c>
      <c r="C843" t="s">
        <v>1662</v>
      </c>
      <c r="D843" t="s">
        <v>1960</v>
      </c>
      <c r="E843" t="s">
        <v>2114</v>
      </c>
      <c r="F843" t="s">
        <v>2117</v>
      </c>
      <c r="G843" t="s">
        <v>2121</v>
      </c>
      <c r="H843" t="s">
        <v>2132</v>
      </c>
      <c r="I843" t="s">
        <v>2142</v>
      </c>
      <c r="J843" t="s">
        <v>2145</v>
      </c>
      <c r="K843" t="s">
        <v>2153</v>
      </c>
      <c r="L843" s="3">
        <v>1</v>
      </c>
      <c r="M843" s="2">
        <v>11437.58</v>
      </c>
      <c r="N843" s="5">
        <v>0.1</v>
      </c>
      <c r="O843" s="2">
        <v>10293.82</v>
      </c>
      <c r="P843" s="2">
        <v>2403.83</v>
      </c>
      <c r="Q843" t="s">
        <v>2169</v>
      </c>
    </row>
    <row r="844" spans="1:17">
      <c r="A844" t="s">
        <v>859</v>
      </c>
      <c r="B844" s="1">
        <v>45859</v>
      </c>
      <c r="C844" t="s">
        <v>1634</v>
      </c>
      <c r="D844" t="s">
        <v>1932</v>
      </c>
      <c r="E844" t="s">
        <v>2113</v>
      </c>
      <c r="F844" t="s">
        <v>2119</v>
      </c>
      <c r="G844" t="s">
        <v>2129</v>
      </c>
      <c r="H844" t="s">
        <v>2139</v>
      </c>
      <c r="I844" t="s">
        <v>2142</v>
      </c>
      <c r="J844" t="s">
        <v>2151</v>
      </c>
      <c r="K844" t="s">
        <v>2160</v>
      </c>
      <c r="L844" s="3">
        <v>1</v>
      </c>
      <c r="M844" s="2">
        <v>8484.42</v>
      </c>
      <c r="N844" s="5">
        <v>0.1</v>
      </c>
      <c r="O844" s="2">
        <v>7635.98</v>
      </c>
      <c r="P844" s="2">
        <v>1167.17</v>
      </c>
      <c r="Q844" t="s">
        <v>2169</v>
      </c>
    </row>
    <row r="845" spans="1:17">
      <c r="A845" t="s">
        <v>860</v>
      </c>
      <c r="B845" s="1">
        <v>45859</v>
      </c>
      <c r="C845" t="s">
        <v>1622</v>
      </c>
      <c r="D845" t="s">
        <v>1920</v>
      </c>
      <c r="E845" t="s">
        <v>2113</v>
      </c>
      <c r="F845" t="s">
        <v>2119</v>
      </c>
      <c r="G845" t="s">
        <v>2129</v>
      </c>
      <c r="H845" t="s">
        <v>2139</v>
      </c>
      <c r="I845" t="s">
        <v>2143</v>
      </c>
      <c r="J845" t="s">
        <v>2148</v>
      </c>
      <c r="K845" t="s">
        <v>2161</v>
      </c>
      <c r="L845" s="3">
        <v>2</v>
      </c>
      <c r="M845" s="2">
        <v>1880.72</v>
      </c>
      <c r="N845" s="5">
        <v>0.05</v>
      </c>
      <c r="O845" s="2">
        <v>3573.37</v>
      </c>
      <c r="P845" s="2">
        <v>643.75</v>
      </c>
      <c r="Q845" t="s">
        <v>2169</v>
      </c>
    </row>
    <row r="846" spans="1:17">
      <c r="A846" t="s">
        <v>861</v>
      </c>
      <c r="B846" s="1">
        <v>45860</v>
      </c>
      <c r="C846" t="s">
        <v>1628</v>
      </c>
      <c r="D846" t="s">
        <v>1926</v>
      </c>
      <c r="E846" t="s">
        <v>2114</v>
      </c>
      <c r="F846" t="s">
        <v>2117</v>
      </c>
      <c r="G846" t="s">
        <v>2121</v>
      </c>
      <c r="H846" t="s">
        <v>2132</v>
      </c>
      <c r="I846" t="s">
        <v>2143</v>
      </c>
      <c r="J846" t="s">
        <v>2149</v>
      </c>
      <c r="K846" t="s">
        <v>2158</v>
      </c>
      <c r="L846" s="3">
        <v>4</v>
      </c>
      <c r="M846" s="2">
        <v>48882.58</v>
      </c>
      <c r="N846" s="5">
        <v>0.05</v>
      </c>
      <c r="O846" s="2">
        <v>185753.8</v>
      </c>
      <c r="P846" s="2">
        <v>12988.5</v>
      </c>
      <c r="Q846" t="s">
        <v>2169</v>
      </c>
    </row>
    <row r="847" spans="1:17">
      <c r="A847" t="s">
        <v>862</v>
      </c>
      <c r="B847" s="1">
        <v>45860</v>
      </c>
      <c r="C847" t="s">
        <v>1758</v>
      </c>
      <c r="D847" t="s">
        <v>2056</v>
      </c>
      <c r="E847" t="s">
        <v>2114</v>
      </c>
      <c r="F847" t="s">
        <v>2117</v>
      </c>
      <c r="G847" t="s">
        <v>2123</v>
      </c>
      <c r="H847" t="s">
        <v>2134</v>
      </c>
      <c r="I847" t="s">
        <v>2142</v>
      </c>
      <c r="J847" t="s">
        <v>2145</v>
      </c>
      <c r="K847" t="s">
        <v>2153</v>
      </c>
      <c r="L847" s="3">
        <v>3</v>
      </c>
      <c r="M847" s="2">
        <v>12041.03</v>
      </c>
      <c r="N847" s="5">
        <v>0.1</v>
      </c>
      <c r="O847" s="2">
        <v>32510.78</v>
      </c>
      <c r="P847" s="2">
        <v>6397.65</v>
      </c>
      <c r="Q847" t="s">
        <v>2167</v>
      </c>
    </row>
    <row r="848" spans="1:17">
      <c r="A848" t="s">
        <v>863</v>
      </c>
      <c r="B848" s="1">
        <v>45860</v>
      </c>
      <c r="C848" t="s">
        <v>1640</v>
      </c>
      <c r="D848" t="s">
        <v>1938</v>
      </c>
      <c r="E848" t="s">
        <v>2113</v>
      </c>
      <c r="F848" t="s">
        <v>2118</v>
      </c>
      <c r="G848" t="s">
        <v>2126</v>
      </c>
      <c r="H848" t="s">
        <v>2137</v>
      </c>
      <c r="I848" t="s">
        <v>2143</v>
      </c>
      <c r="J848" t="s">
        <v>2149</v>
      </c>
      <c r="K848" t="s">
        <v>2158</v>
      </c>
      <c r="L848" s="3">
        <v>1</v>
      </c>
      <c r="M848" s="2">
        <v>49351.839999999997</v>
      </c>
      <c r="N848" s="5">
        <v>0.05</v>
      </c>
      <c r="O848" s="2">
        <v>46884.25</v>
      </c>
      <c r="P848" s="2">
        <v>6017.14</v>
      </c>
      <c r="Q848" t="s">
        <v>2168</v>
      </c>
    </row>
    <row r="849" spans="1:17">
      <c r="A849" t="s">
        <v>864</v>
      </c>
      <c r="B849" s="1">
        <v>45860</v>
      </c>
      <c r="C849" t="s">
        <v>1635</v>
      </c>
      <c r="D849" t="s">
        <v>1933</v>
      </c>
      <c r="E849" t="s">
        <v>2114</v>
      </c>
      <c r="F849" t="s">
        <v>2118</v>
      </c>
      <c r="G849" t="s">
        <v>2126</v>
      </c>
      <c r="H849" t="s">
        <v>2137</v>
      </c>
      <c r="I849" t="s">
        <v>2142</v>
      </c>
      <c r="J849" t="s">
        <v>2145</v>
      </c>
      <c r="K849" t="s">
        <v>2165</v>
      </c>
      <c r="L849" s="3">
        <v>1</v>
      </c>
      <c r="M849" s="2">
        <v>6684.33</v>
      </c>
      <c r="N849" s="5">
        <v>0.2</v>
      </c>
      <c r="O849" s="2">
        <v>5347.46</v>
      </c>
      <c r="P849" s="2">
        <v>1271.44</v>
      </c>
      <c r="Q849" t="s">
        <v>2170</v>
      </c>
    </row>
    <row r="850" spans="1:17">
      <c r="A850" t="s">
        <v>865</v>
      </c>
      <c r="B850" s="1">
        <v>45860</v>
      </c>
      <c r="C850" t="s">
        <v>1561</v>
      </c>
      <c r="D850" t="s">
        <v>1859</v>
      </c>
      <c r="E850" t="s">
        <v>2114</v>
      </c>
      <c r="F850" t="s">
        <v>2116</v>
      </c>
      <c r="G850" t="s">
        <v>2127</v>
      </c>
      <c r="H850" t="s">
        <v>2138</v>
      </c>
      <c r="I850" t="s">
        <v>2142</v>
      </c>
      <c r="J850" t="s">
        <v>2151</v>
      </c>
      <c r="K850" t="s">
        <v>2160</v>
      </c>
      <c r="L850" s="3">
        <v>4</v>
      </c>
      <c r="M850" s="2">
        <v>8542.33</v>
      </c>
      <c r="N850" s="5">
        <v>0.05</v>
      </c>
      <c r="O850" s="2">
        <v>32460.85</v>
      </c>
      <c r="P850" s="2">
        <v>8267.91</v>
      </c>
      <c r="Q850" t="s">
        <v>2167</v>
      </c>
    </row>
    <row r="851" spans="1:17">
      <c r="A851" t="s">
        <v>866</v>
      </c>
      <c r="B851" s="1">
        <v>45860</v>
      </c>
      <c r="C851" t="s">
        <v>1683</v>
      </c>
      <c r="D851" t="s">
        <v>1981</v>
      </c>
      <c r="E851" t="s">
        <v>2113</v>
      </c>
      <c r="F851" t="s">
        <v>2117</v>
      </c>
      <c r="G851" t="s">
        <v>2125</v>
      </c>
      <c r="H851" t="s">
        <v>2136</v>
      </c>
      <c r="I851" t="s">
        <v>2143</v>
      </c>
      <c r="J851" t="s">
        <v>2149</v>
      </c>
      <c r="K851" t="s">
        <v>2158</v>
      </c>
      <c r="L851" s="3">
        <v>2</v>
      </c>
      <c r="M851" s="2">
        <v>49096.76</v>
      </c>
      <c r="N851" s="5">
        <v>0.15</v>
      </c>
      <c r="O851" s="2">
        <v>83464.490000000005</v>
      </c>
      <c r="P851" s="2">
        <v>12444.27</v>
      </c>
      <c r="Q851" t="s">
        <v>2170</v>
      </c>
    </row>
    <row r="852" spans="1:17">
      <c r="A852" t="s">
        <v>867</v>
      </c>
      <c r="B852" s="1">
        <v>45861</v>
      </c>
      <c r="C852" t="s">
        <v>1792</v>
      </c>
      <c r="D852" t="s">
        <v>2090</v>
      </c>
      <c r="E852" t="s">
        <v>2114</v>
      </c>
      <c r="F852" t="s">
        <v>2116</v>
      </c>
      <c r="G852" t="s">
        <v>2127</v>
      </c>
      <c r="H852" t="s">
        <v>2140</v>
      </c>
      <c r="I852" t="s">
        <v>2144</v>
      </c>
      <c r="J852" t="s">
        <v>2152</v>
      </c>
      <c r="K852" t="s">
        <v>2166</v>
      </c>
      <c r="L852" s="3">
        <v>2</v>
      </c>
      <c r="M852" s="2">
        <v>578.03</v>
      </c>
      <c r="N852" s="5">
        <v>0.05</v>
      </c>
      <c r="O852" s="2">
        <v>1098.26</v>
      </c>
      <c r="P852" s="2">
        <v>296.79000000000002</v>
      </c>
      <c r="Q852" t="s">
        <v>2167</v>
      </c>
    </row>
    <row r="853" spans="1:17">
      <c r="A853" t="s">
        <v>868</v>
      </c>
      <c r="B853" s="1">
        <v>45862</v>
      </c>
      <c r="C853" t="s">
        <v>1674</v>
      </c>
      <c r="D853" t="s">
        <v>1972</v>
      </c>
      <c r="E853" t="s">
        <v>2114</v>
      </c>
      <c r="F853" t="s">
        <v>2116</v>
      </c>
      <c r="G853" t="s">
        <v>2120</v>
      </c>
      <c r="H853" t="s">
        <v>2131</v>
      </c>
      <c r="I853" t="s">
        <v>2143</v>
      </c>
      <c r="J853" t="s">
        <v>2148</v>
      </c>
      <c r="K853" t="s">
        <v>2156</v>
      </c>
      <c r="L853" s="3">
        <v>3</v>
      </c>
      <c r="M853" s="2">
        <v>1200.24</v>
      </c>
      <c r="N853" s="5">
        <v>0</v>
      </c>
      <c r="O853" s="2">
        <v>3600.72</v>
      </c>
      <c r="P853" s="2">
        <v>584.62</v>
      </c>
      <c r="Q853" t="s">
        <v>2167</v>
      </c>
    </row>
    <row r="854" spans="1:17">
      <c r="A854" t="s">
        <v>869</v>
      </c>
      <c r="B854" s="1">
        <v>45862</v>
      </c>
      <c r="C854" t="s">
        <v>1551</v>
      </c>
      <c r="D854" t="s">
        <v>1849</v>
      </c>
      <c r="E854" t="s">
        <v>2114</v>
      </c>
      <c r="F854" t="s">
        <v>2116</v>
      </c>
      <c r="G854" t="s">
        <v>2127</v>
      </c>
      <c r="H854" t="s">
        <v>2138</v>
      </c>
      <c r="I854" t="s">
        <v>2143</v>
      </c>
      <c r="J854" t="s">
        <v>2146</v>
      </c>
      <c r="K854" t="s">
        <v>2164</v>
      </c>
      <c r="L854" s="3">
        <v>2</v>
      </c>
      <c r="M854" s="2">
        <v>17268.88</v>
      </c>
      <c r="N854" s="5">
        <v>0.1</v>
      </c>
      <c r="O854" s="2">
        <v>31083.98</v>
      </c>
      <c r="P854" s="2">
        <v>3968.08</v>
      </c>
      <c r="Q854" t="s">
        <v>2169</v>
      </c>
    </row>
    <row r="855" spans="1:17">
      <c r="A855" t="s">
        <v>870</v>
      </c>
      <c r="B855" s="1">
        <v>45862</v>
      </c>
      <c r="C855" t="s">
        <v>1567</v>
      </c>
      <c r="D855" t="s">
        <v>1865</v>
      </c>
      <c r="E855" t="s">
        <v>2115</v>
      </c>
      <c r="F855" t="s">
        <v>2119</v>
      </c>
      <c r="G855" t="s">
        <v>2130</v>
      </c>
      <c r="H855" t="s">
        <v>2141</v>
      </c>
      <c r="I855" t="s">
        <v>2143</v>
      </c>
      <c r="J855" t="s">
        <v>2148</v>
      </c>
      <c r="K855" t="s">
        <v>2156</v>
      </c>
      <c r="L855" s="3">
        <v>4</v>
      </c>
      <c r="M855" s="2">
        <v>1194.07</v>
      </c>
      <c r="N855" s="5">
        <v>0</v>
      </c>
      <c r="O855" s="2">
        <v>4776.28</v>
      </c>
      <c r="P855" s="2">
        <v>468.47</v>
      </c>
      <c r="Q855" t="s">
        <v>2170</v>
      </c>
    </row>
    <row r="856" spans="1:17">
      <c r="A856" t="s">
        <v>871</v>
      </c>
      <c r="B856" s="1">
        <v>45863</v>
      </c>
      <c r="C856" t="s">
        <v>1700</v>
      </c>
      <c r="D856" t="s">
        <v>1998</v>
      </c>
      <c r="E856" t="s">
        <v>2114</v>
      </c>
      <c r="F856" t="s">
        <v>2117</v>
      </c>
      <c r="G856" t="s">
        <v>2123</v>
      </c>
      <c r="H856" t="s">
        <v>2134</v>
      </c>
      <c r="I856" t="s">
        <v>2144</v>
      </c>
      <c r="J856" t="s">
        <v>2152</v>
      </c>
      <c r="K856" t="s">
        <v>2162</v>
      </c>
      <c r="L856" s="3">
        <v>2</v>
      </c>
      <c r="M856" s="2">
        <v>349.73</v>
      </c>
      <c r="N856" s="5">
        <v>0</v>
      </c>
      <c r="O856" s="2">
        <v>699.46</v>
      </c>
      <c r="P856" s="2">
        <v>152.27000000000001</v>
      </c>
      <c r="Q856" t="s">
        <v>2169</v>
      </c>
    </row>
    <row r="857" spans="1:17">
      <c r="A857" t="s">
        <v>872</v>
      </c>
      <c r="B857" s="1">
        <v>45863</v>
      </c>
      <c r="C857" t="s">
        <v>1564</v>
      </c>
      <c r="D857" t="s">
        <v>1862</v>
      </c>
      <c r="E857" t="s">
        <v>2113</v>
      </c>
      <c r="F857" t="s">
        <v>2116</v>
      </c>
      <c r="G857" t="s">
        <v>2120</v>
      </c>
      <c r="H857" t="s">
        <v>2131</v>
      </c>
      <c r="I857" t="s">
        <v>2143</v>
      </c>
      <c r="J857" t="s">
        <v>2148</v>
      </c>
      <c r="K857" t="s">
        <v>2161</v>
      </c>
      <c r="L857" s="3">
        <v>3</v>
      </c>
      <c r="M857" s="2">
        <v>1797.07</v>
      </c>
      <c r="N857" s="5">
        <v>0.05</v>
      </c>
      <c r="O857" s="2">
        <v>5121.6499999999996</v>
      </c>
      <c r="P857" s="2">
        <v>578.79999999999995</v>
      </c>
      <c r="Q857" t="s">
        <v>2168</v>
      </c>
    </row>
    <row r="858" spans="1:17">
      <c r="A858" t="s">
        <v>873</v>
      </c>
      <c r="B858" s="1">
        <v>45863</v>
      </c>
      <c r="C858" t="s">
        <v>1804</v>
      </c>
      <c r="D858" t="s">
        <v>2102</v>
      </c>
      <c r="E858" t="s">
        <v>2114</v>
      </c>
      <c r="F858" t="s">
        <v>2116</v>
      </c>
      <c r="G858" t="s">
        <v>2127</v>
      </c>
      <c r="H858" t="s">
        <v>2140</v>
      </c>
      <c r="I858" t="s">
        <v>2143</v>
      </c>
      <c r="J858" t="s">
        <v>2149</v>
      </c>
      <c r="K858" t="s">
        <v>2158</v>
      </c>
      <c r="L858" s="3">
        <v>1</v>
      </c>
      <c r="M858" s="2">
        <v>47991.02</v>
      </c>
      <c r="N858" s="5">
        <v>0.1</v>
      </c>
      <c r="O858" s="2">
        <v>43191.92</v>
      </c>
      <c r="P858" s="2">
        <v>6218.28</v>
      </c>
      <c r="Q858" t="s">
        <v>2167</v>
      </c>
    </row>
    <row r="859" spans="1:17">
      <c r="A859" t="s">
        <v>874</v>
      </c>
      <c r="B859" s="1">
        <v>45863</v>
      </c>
      <c r="C859" t="s">
        <v>1805</v>
      </c>
      <c r="D859" t="s">
        <v>2103</v>
      </c>
      <c r="E859" t="s">
        <v>2114</v>
      </c>
      <c r="F859" t="s">
        <v>2116</v>
      </c>
      <c r="G859" t="s">
        <v>2120</v>
      </c>
      <c r="H859" t="s">
        <v>2131</v>
      </c>
      <c r="I859" t="s">
        <v>2142</v>
      </c>
      <c r="J859" t="s">
        <v>2151</v>
      </c>
      <c r="K859" t="s">
        <v>2160</v>
      </c>
      <c r="L859" s="3">
        <v>2</v>
      </c>
      <c r="M859" s="2">
        <v>8788.5400000000009</v>
      </c>
      <c r="N859" s="5">
        <v>0.1</v>
      </c>
      <c r="O859" s="2">
        <v>15819.37</v>
      </c>
      <c r="P859" s="2">
        <v>3144.21</v>
      </c>
      <c r="Q859" t="s">
        <v>2169</v>
      </c>
    </row>
    <row r="860" spans="1:17">
      <c r="A860" t="s">
        <v>875</v>
      </c>
      <c r="B860" s="1">
        <v>45864</v>
      </c>
      <c r="C860" t="s">
        <v>1735</v>
      </c>
      <c r="D860" t="s">
        <v>2033</v>
      </c>
      <c r="E860" t="s">
        <v>2115</v>
      </c>
      <c r="F860" t="s">
        <v>2116</v>
      </c>
      <c r="G860" t="s">
        <v>2127</v>
      </c>
      <c r="H860" t="s">
        <v>2140</v>
      </c>
      <c r="I860" t="s">
        <v>2142</v>
      </c>
      <c r="J860" t="s">
        <v>2147</v>
      </c>
      <c r="K860" t="s">
        <v>2157</v>
      </c>
      <c r="L860" s="3">
        <v>1</v>
      </c>
      <c r="M860" s="2">
        <v>14886.6</v>
      </c>
      <c r="N860" s="5">
        <v>0.15</v>
      </c>
      <c r="O860" s="2">
        <v>12653.61</v>
      </c>
      <c r="P860" s="2">
        <v>1713.54</v>
      </c>
      <c r="Q860" t="s">
        <v>2167</v>
      </c>
    </row>
    <row r="861" spans="1:17">
      <c r="A861" t="s">
        <v>876</v>
      </c>
      <c r="B861" s="1">
        <v>45864</v>
      </c>
      <c r="C861" t="s">
        <v>1745</v>
      </c>
      <c r="D861" t="s">
        <v>2043</v>
      </c>
      <c r="E861" t="s">
        <v>2114</v>
      </c>
      <c r="F861" t="s">
        <v>2119</v>
      </c>
      <c r="G861" t="s">
        <v>2124</v>
      </c>
      <c r="H861" t="s">
        <v>2135</v>
      </c>
      <c r="I861" t="s">
        <v>2144</v>
      </c>
      <c r="J861" t="s">
        <v>2152</v>
      </c>
      <c r="K861" t="s">
        <v>2166</v>
      </c>
      <c r="L861" s="3">
        <v>1</v>
      </c>
      <c r="M861" s="2">
        <v>573.37</v>
      </c>
      <c r="N861" s="5">
        <v>0.1</v>
      </c>
      <c r="O861" s="2">
        <v>516.03</v>
      </c>
      <c r="P861" s="2">
        <v>110.97</v>
      </c>
      <c r="Q861" t="s">
        <v>2167</v>
      </c>
    </row>
    <row r="862" spans="1:17">
      <c r="A862" t="s">
        <v>877</v>
      </c>
      <c r="B862" s="1">
        <v>45864</v>
      </c>
      <c r="C862" t="s">
        <v>1709</v>
      </c>
      <c r="D862" t="s">
        <v>2007</v>
      </c>
      <c r="E862" t="s">
        <v>2114</v>
      </c>
      <c r="F862" t="s">
        <v>2118</v>
      </c>
      <c r="G862" t="s">
        <v>2122</v>
      </c>
      <c r="H862" t="s">
        <v>2133</v>
      </c>
      <c r="I862" t="s">
        <v>2142</v>
      </c>
      <c r="J862" t="s">
        <v>2145</v>
      </c>
      <c r="K862" t="s">
        <v>2165</v>
      </c>
      <c r="L862" s="3">
        <v>3</v>
      </c>
      <c r="M862" s="2">
        <v>6326.3</v>
      </c>
      <c r="N862" s="5">
        <v>0.15</v>
      </c>
      <c r="O862" s="2">
        <v>16132.07</v>
      </c>
      <c r="P862" s="2">
        <v>3742.11</v>
      </c>
      <c r="Q862" t="s">
        <v>2169</v>
      </c>
    </row>
    <row r="863" spans="1:17">
      <c r="A863" t="s">
        <v>878</v>
      </c>
      <c r="B863" s="1">
        <v>45864</v>
      </c>
      <c r="C863" t="s">
        <v>1795</v>
      </c>
      <c r="D863" t="s">
        <v>2093</v>
      </c>
      <c r="E863" t="s">
        <v>2115</v>
      </c>
      <c r="F863" t="s">
        <v>2116</v>
      </c>
      <c r="G863" t="s">
        <v>2120</v>
      </c>
      <c r="H863" t="s">
        <v>2131</v>
      </c>
      <c r="I863" t="s">
        <v>2142</v>
      </c>
      <c r="J863" t="s">
        <v>2145</v>
      </c>
      <c r="K863" t="s">
        <v>2153</v>
      </c>
      <c r="L863" s="3">
        <v>1</v>
      </c>
      <c r="M863" s="2">
        <v>12367.44</v>
      </c>
      <c r="N863" s="5">
        <v>0.05</v>
      </c>
      <c r="O863" s="2">
        <v>11749.07</v>
      </c>
      <c r="P863" s="2">
        <v>2730.66</v>
      </c>
      <c r="Q863" t="s">
        <v>2168</v>
      </c>
    </row>
    <row r="864" spans="1:17">
      <c r="A864" t="s">
        <v>879</v>
      </c>
      <c r="B864" s="1">
        <v>45864</v>
      </c>
      <c r="C864" t="s">
        <v>1574</v>
      </c>
      <c r="D864" t="s">
        <v>1872</v>
      </c>
      <c r="E864" t="s">
        <v>2114</v>
      </c>
      <c r="F864" t="s">
        <v>2116</v>
      </c>
      <c r="G864" t="s">
        <v>2120</v>
      </c>
      <c r="H864" t="s">
        <v>2131</v>
      </c>
      <c r="I864" t="s">
        <v>2143</v>
      </c>
      <c r="J864" t="s">
        <v>2148</v>
      </c>
      <c r="K864" t="s">
        <v>2156</v>
      </c>
      <c r="L864" s="3">
        <v>1</v>
      </c>
      <c r="M864" s="2">
        <v>1217.1400000000001</v>
      </c>
      <c r="N864" s="5">
        <v>0.05</v>
      </c>
      <c r="O864" s="2">
        <v>1156.28</v>
      </c>
      <c r="P864" s="2">
        <v>186.28</v>
      </c>
      <c r="Q864" t="s">
        <v>2167</v>
      </c>
    </row>
    <row r="865" spans="1:17">
      <c r="A865" t="s">
        <v>880</v>
      </c>
      <c r="B865" s="1">
        <v>45864</v>
      </c>
      <c r="C865" t="s">
        <v>1727</v>
      </c>
      <c r="D865" t="s">
        <v>2025</v>
      </c>
      <c r="E865" t="s">
        <v>2114</v>
      </c>
      <c r="F865" t="s">
        <v>2116</v>
      </c>
      <c r="G865" t="s">
        <v>2127</v>
      </c>
      <c r="H865" t="s">
        <v>2138</v>
      </c>
      <c r="I865" t="s">
        <v>2143</v>
      </c>
      <c r="J865" t="s">
        <v>2146</v>
      </c>
      <c r="K865" t="s">
        <v>2154</v>
      </c>
      <c r="L865" s="3">
        <v>2</v>
      </c>
      <c r="M865" s="2">
        <v>40242.410000000003</v>
      </c>
      <c r="N865" s="5">
        <v>0.05</v>
      </c>
      <c r="O865" s="2">
        <v>76460.58</v>
      </c>
      <c r="P865" s="2">
        <v>9840.44</v>
      </c>
      <c r="Q865" t="s">
        <v>2167</v>
      </c>
    </row>
    <row r="866" spans="1:17">
      <c r="A866" t="s">
        <v>881</v>
      </c>
      <c r="B866" s="1">
        <v>45865</v>
      </c>
      <c r="C866" t="s">
        <v>1557</v>
      </c>
      <c r="D866" t="s">
        <v>1855</v>
      </c>
      <c r="E866" t="s">
        <v>2114</v>
      </c>
      <c r="F866" t="s">
        <v>2116</v>
      </c>
      <c r="G866" t="s">
        <v>2127</v>
      </c>
      <c r="H866" t="s">
        <v>2138</v>
      </c>
      <c r="I866" t="s">
        <v>2144</v>
      </c>
      <c r="J866" t="s">
        <v>2150</v>
      </c>
      <c r="K866" t="s">
        <v>2159</v>
      </c>
      <c r="L866" s="3">
        <v>1</v>
      </c>
      <c r="M866" s="2">
        <v>458.7</v>
      </c>
      <c r="N866" s="5">
        <v>0</v>
      </c>
      <c r="O866" s="2">
        <v>458.7</v>
      </c>
      <c r="P866" s="2">
        <v>140.80000000000001</v>
      </c>
      <c r="Q866" t="s">
        <v>2169</v>
      </c>
    </row>
    <row r="867" spans="1:17">
      <c r="A867" t="s">
        <v>882</v>
      </c>
      <c r="B867" s="1">
        <v>45865</v>
      </c>
      <c r="C867" t="s">
        <v>1528</v>
      </c>
      <c r="D867" t="s">
        <v>1826</v>
      </c>
      <c r="E867" t="s">
        <v>2115</v>
      </c>
      <c r="F867" t="s">
        <v>2118</v>
      </c>
      <c r="G867" t="s">
        <v>2122</v>
      </c>
      <c r="H867" t="s">
        <v>2133</v>
      </c>
      <c r="I867" t="s">
        <v>2142</v>
      </c>
      <c r="J867" t="s">
        <v>2145</v>
      </c>
      <c r="K867" t="s">
        <v>2165</v>
      </c>
      <c r="L867" s="3">
        <v>2</v>
      </c>
      <c r="M867" s="2">
        <v>6282.93</v>
      </c>
      <c r="N867" s="5">
        <v>0</v>
      </c>
      <c r="O867" s="2">
        <v>12565.86</v>
      </c>
      <c r="P867" s="2">
        <v>1630.76</v>
      </c>
      <c r="Q867" t="s">
        <v>2169</v>
      </c>
    </row>
    <row r="868" spans="1:17">
      <c r="A868" t="s">
        <v>883</v>
      </c>
      <c r="B868" s="1">
        <v>45865</v>
      </c>
      <c r="C868" t="s">
        <v>1542</v>
      </c>
      <c r="D868" t="s">
        <v>1840</v>
      </c>
      <c r="E868" t="s">
        <v>2114</v>
      </c>
      <c r="F868" t="s">
        <v>2119</v>
      </c>
      <c r="G868" t="s">
        <v>2124</v>
      </c>
      <c r="H868" t="s">
        <v>2135</v>
      </c>
      <c r="I868" t="s">
        <v>2143</v>
      </c>
      <c r="J868" t="s">
        <v>2146</v>
      </c>
      <c r="K868" t="s">
        <v>2154</v>
      </c>
      <c r="L868" s="3">
        <v>3</v>
      </c>
      <c r="M868" s="2">
        <v>40575.39</v>
      </c>
      <c r="N868" s="5">
        <v>0</v>
      </c>
      <c r="O868" s="2">
        <v>121726.17</v>
      </c>
      <c r="P868" s="2">
        <v>19089.43</v>
      </c>
      <c r="Q868" t="s">
        <v>2167</v>
      </c>
    </row>
    <row r="869" spans="1:17">
      <c r="A869" t="s">
        <v>884</v>
      </c>
      <c r="B869" s="1">
        <v>45866</v>
      </c>
      <c r="C869" t="s">
        <v>1687</v>
      </c>
      <c r="D869" t="s">
        <v>1985</v>
      </c>
      <c r="E869" t="s">
        <v>2114</v>
      </c>
      <c r="F869" t="s">
        <v>2117</v>
      </c>
      <c r="G869" t="s">
        <v>2125</v>
      </c>
      <c r="H869" t="s">
        <v>2136</v>
      </c>
      <c r="I869" t="s">
        <v>2142</v>
      </c>
      <c r="J869" t="s">
        <v>2147</v>
      </c>
      <c r="K869" t="s">
        <v>2157</v>
      </c>
      <c r="L869" s="3">
        <v>1</v>
      </c>
      <c r="M869" s="2">
        <v>14546.85</v>
      </c>
      <c r="N869" s="5">
        <v>0.1</v>
      </c>
      <c r="O869" s="2">
        <v>13092.17</v>
      </c>
      <c r="P869" s="2">
        <v>1370.54</v>
      </c>
      <c r="Q869" t="s">
        <v>2167</v>
      </c>
    </row>
    <row r="870" spans="1:17">
      <c r="A870" t="s">
        <v>885</v>
      </c>
      <c r="B870" s="1">
        <v>45866</v>
      </c>
      <c r="C870" t="s">
        <v>1806</v>
      </c>
      <c r="D870" t="s">
        <v>2104</v>
      </c>
      <c r="E870" t="s">
        <v>2114</v>
      </c>
      <c r="F870" t="s">
        <v>2118</v>
      </c>
      <c r="G870" t="s">
        <v>2122</v>
      </c>
      <c r="H870" t="s">
        <v>2133</v>
      </c>
      <c r="I870" t="s">
        <v>2143</v>
      </c>
      <c r="J870" t="s">
        <v>2146</v>
      </c>
      <c r="K870" t="s">
        <v>2154</v>
      </c>
      <c r="L870" s="3">
        <v>1</v>
      </c>
      <c r="M870" s="2">
        <v>40982.620000000003</v>
      </c>
      <c r="N870" s="5">
        <v>0.2</v>
      </c>
      <c r="O870" s="2">
        <v>32786.1</v>
      </c>
      <c r="P870" s="2">
        <v>3718.74</v>
      </c>
      <c r="Q870" t="s">
        <v>2169</v>
      </c>
    </row>
    <row r="871" spans="1:17">
      <c r="A871" t="s">
        <v>886</v>
      </c>
      <c r="B871" s="1">
        <v>45866</v>
      </c>
      <c r="C871" t="s">
        <v>1755</v>
      </c>
      <c r="D871" t="s">
        <v>2053</v>
      </c>
      <c r="E871" t="s">
        <v>2114</v>
      </c>
      <c r="F871" t="s">
        <v>2118</v>
      </c>
      <c r="G871" t="s">
        <v>2128</v>
      </c>
      <c r="H871" t="s">
        <v>2128</v>
      </c>
      <c r="I871" t="s">
        <v>2142</v>
      </c>
      <c r="J871" t="s">
        <v>2145</v>
      </c>
      <c r="K871" t="s">
        <v>2165</v>
      </c>
      <c r="L871" s="3">
        <v>1</v>
      </c>
      <c r="M871" s="2">
        <v>6714.6</v>
      </c>
      <c r="N871" s="5">
        <v>0</v>
      </c>
      <c r="O871" s="2">
        <v>6714.6</v>
      </c>
      <c r="P871" s="2">
        <v>1824.49</v>
      </c>
      <c r="Q871" t="s">
        <v>2170</v>
      </c>
    </row>
    <row r="872" spans="1:17">
      <c r="A872" t="s">
        <v>887</v>
      </c>
      <c r="B872" s="1">
        <v>45866</v>
      </c>
      <c r="C872" t="s">
        <v>1525</v>
      </c>
      <c r="D872" t="s">
        <v>1823</v>
      </c>
      <c r="E872" t="s">
        <v>2115</v>
      </c>
      <c r="F872" t="s">
        <v>2117</v>
      </c>
      <c r="G872" t="s">
        <v>2123</v>
      </c>
      <c r="H872" t="s">
        <v>2134</v>
      </c>
      <c r="I872" t="s">
        <v>2143</v>
      </c>
      <c r="J872" t="s">
        <v>2149</v>
      </c>
      <c r="K872" t="s">
        <v>2158</v>
      </c>
      <c r="L872" s="3">
        <v>1</v>
      </c>
      <c r="M872" s="2">
        <v>49684.09</v>
      </c>
      <c r="N872" s="5">
        <v>0.1</v>
      </c>
      <c r="O872" s="2">
        <v>44715.68</v>
      </c>
      <c r="P872" s="2">
        <v>4205.41</v>
      </c>
      <c r="Q872" t="s">
        <v>2168</v>
      </c>
    </row>
    <row r="873" spans="1:17">
      <c r="A873" t="s">
        <v>888</v>
      </c>
      <c r="B873" s="1">
        <v>45867</v>
      </c>
      <c r="C873" t="s">
        <v>1740</v>
      </c>
      <c r="D873" t="s">
        <v>2038</v>
      </c>
      <c r="E873" t="s">
        <v>2114</v>
      </c>
      <c r="F873" t="s">
        <v>2116</v>
      </c>
      <c r="G873" t="s">
        <v>2120</v>
      </c>
      <c r="H873" t="s">
        <v>2131</v>
      </c>
      <c r="I873" t="s">
        <v>2143</v>
      </c>
      <c r="J873" t="s">
        <v>2149</v>
      </c>
      <c r="K873" t="s">
        <v>2163</v>
      </c>
      <c r="L873" s="3">
        <v>1</v>
      </c>
      <c r="M873" s="2">
        <v>66636.66</v>
      </c>
      <c r="N873" s="5">
        <v>0.15</v>
      </c>
      <c r="O873" s="2">
        <v>56641.16</v>
      </c>
      <c r="P873" s="2">
        <v>7895.57</v>
      </c>
      <c r="Q873" t="s">
        <v>2169</v>
      </c>
    </row>
    <row r="874" spans="1:17">
      <c r="A874" t="s">
        <v>889</v>
      </c>
      <c r="B874" s="1">
        <v>45867</v>
      </c>
      <c r="C874" t="s">
        <v>1668</v>
      </c>
      <c r="D874" t="s">
        <v>1966</v>
      </c>
      <c r="E874" t="s">
        <v>2115</v>
      </c>
      <c r="F874" t="s">
        <v>2118</v>
      </c>
      <c r="G874" t="s">
        <v>2128</v>
      </c>
      <c r="H874" t="s">
        <v>2128</v>
      </c>
      <c r="I874" t="s">
        <v>2144</v>
      </c>
      <c r="J874" t="s">
        <v>2152</v>
      </c>
      <c r="K874" t="s">
        <v>2166</v>
      </c>
      <c r="L874" s="3">
        <v>2</v>
      </c>
      <c r="M874" s="2">
        <v>611.44000000000005</v>
      </c>
      <c r="N874" s="5">
        <v>0</v>
      </c>
      <c r="O874" s="2">
        <v>1222.8800000000001</v>
      </c>
      <c r="P874" s="2">
        <v>309.01</v>
      </c>
      <c r="Q874" t="s">
        <v>2169</v>
      </c>
    </row>
    <row r="875" spans="1:17">
      <c r="A875" t="s">
        <v>890</v>
      </c>
      <c r="B875" s="1">
        <v>45867</v>
      </c>
      <c r="C875" t="s">
        <v>1734</v>
      </c>
      <c r="D875" t="s">
        <v>2032</v>
      </c>
      <c r="E875" t="s">
        <v>2114</v>
      </c>
      <c r="F875" t="s">
        <v>2116</v>
      </c>
      <c r="G875" t="s">
        <v>2127</v>
      </c>
      <c r="H875" t="s">
        <v>2138</v>
      </c>
      <c r="I875" t="s">
        <v>2143</v>
      </c>
      <c r="J875" t="s">
        <v>2146</v>
      </c>
      <c r="K875" t="s">
        <v>2154</v>
      </c>
      <c r="L875" s="3">
        <v>1</v>
      </c>
      <c r="M875" s="2">
        <v>41406.769999999997</v>
      </c>
      <c r="N875" s="5">
        <v>0.15</v>
      </c>
      <c r="O875" s="2">
        <v>35195.75</v>
      </c>
      <c r="P875" s="2">
        <v>4453.9399999999996</v>
      </c>
      <c r="Q875" t="s">
        <v>2168</v>
      </c>
    </row>
    <row r="876" spans="1:17">
      <c r="A876" t="s">
        <v>891</v>
      </c>
      <c r="B876" s="1">
        <v>45868</v>
      </c>
      <c r="C876" t="s">
        <v>1785</v>
      </c>
      <c r="D876" t="s">
        <v>2083</v>
      </c>
      <c r="E876" t="s">
        <v>2114</v>
      </c>
      <c r="F876" t="s">
        <v>2116</v>
      </c>
      <c r="G876" t="s">
        <v>2127</v>
      </c>
      <c r="H876" t="s">
        <v>2138</v>
      </c>
      <c r="I876" t="s">
        <v>2143</v>
      </c>
      <c r="J876" t="s">
        <v>2148</v>
      </c>
      <c r="K876" t="s">
        <v>2156</v>
      </c>
      <c r="L876" s="3">
        <v>2</v>
      </c>
      <c r="M876" s="2">
        <v>1256.75</v>
      </c>
      <c r="N876" s="5">
        <v>0</v>
      </c>
      <c r="O876" s="2">
        <v>2513.5</v>
      </c>
      <c r="P876" s="2">
        <v>364.86</v>
      </c>
      <c r="Q876" t="s">
        <v>2167</v>
      </c>
    </row>
    <row r="877" spans="1:17">
      <c r="A877" t="s">
        <v>892</v>
      </c>
      <c r="B877" s="1">
        <v>45868</v>
      </c>
      <c r="C877" t="s">
        <v>1778</v>
      </c>
      <c r="D877" t="s">
        <v>2076</v>
      </c>
      <c r="E877" t="s">
        <v>2114</v>
      </c>
      <c r="F877" t="s">
        <v>2119</v>
      </c>
      <c r="G877" t="s">
        <v>2130</v>
      </c>
      <c r="H877" t="s">
        <v>2141</v>
      </c>
      <c r="I877" t="s">
        <v>2144</v>
      </c>
      <c r="J877" t="s">
        <v>2147</v>
      </c>
      <c r="K877" t="s">
        <v>2155</v>
      </c>
      <c r="L877" s="3">
        <v>1</v>
      </c>
      <c r="M877" s="2">
        <v>745.73</v>
      </c>
      <c r="N877" s="5">
        <v>0.05</v>
      </c>
      <c r="O877" s="2">
        <v>708.44</v>
      </c>
      <c r="P877" s="2">
        <v>182.63</v>
      </c>
      <c r="Q877" t="s">
        <v>2170</v>
      </c>
    </row>
    <row r="878" spans="1:17">
      <c r="A878" t="s">
        <v>893</v>
      </c>
      <c r="B878" s="1">
        <v>45868</v>
      </c>
      <c r="C878" t="s">
        <v>1704</v>
      </c>
      <c r="D878" t="s">
        <v>2002</v>
      </c>
      <c r="E878" t="s">
        <v>2113</v>
      </c>
      <c r="F878" t="s">
        <v>2117</v>
      </c>
      <c r="G878" t="s">
        <v>2125</v>
      </c>
      <c r="H878" t="s">
        <v>2136</v>
      </c>
      <c r="I878" t="s">
        <v>2144</v>
      </c>
      <c r="J878" t="s">
        <v>2147</v>
      </c>
      <c r="K878" t="s">
        <v>2155</v>
      </c>
      <c r="L878" s="3">
        <v>5</v>
      </c>
      <c r="M878" s="2">
        <v>734.7</v>
      </c>
      <c r="N878" s="5">
        <v>0.15</v>
      </c>
      <c r="O878" s="2">
        <v>3122.47</v>
      </c>
      <c r="P878" s="2">
        <v>548.92999999999995</v>
      </c>
      <c r="Q878" t="s">
        <v>2168</v>
      </c>
    </row>
    <row r="879" spans="1:17">
      <c r="A879" t="s">
        <v>894</v>
      </c>
      <c r="B879" s="1">
        <v>45869</v>
      </c>
      <c r="C879" t="s">
        <v>1527</v>
      </c>
      <c r="D879" t="s">
        <v>1825</v>
      </c>
      <c r="E879" t="s">
        <v>2114</v>
      </c>
      <c r="F879" t="s">
        <v>2117</v>
      </c>
      <c r="G879" t="s">
        <v>2121</v>
      </c>
      <c r="H879" t="s">
        <v>2132</v>
      </c>
      <c r="I879" t="s">
        <v>2143</v>
      </c>
      <c r="J879" t="s">
        <v>2146</v>
      </c>
      <c r="K879" t="s">
        <v>2164</v>
      </c>
      <c r="L879" s="3">
        <v>4</v>
      </c>
      <c r="M879" s="2">
        <v>18319.7</v>
      </c>
      <c r="N879" s="5">
        <v>0</v>
      </c>
      <c r="O879" s="2">
        <v>73278.8</v>
      </c>
      <c r="P879" s="2">
        <v>7635.27</v>
      </c>
      <c r="Q879" t="s">
        <v>2170</v>
      </c>
    </row>
    <row r="880" spans="1:17">
      <c r="A880" t="s">
        <v>895</v>
      </c>
      <c r="B880" s="1">
        <v>45869</v>
      </c>
      <c r="C880" t="s">
        <v>1551</v>
      </c>
      <c r="D880" t="s">
        <v>1849</v>
      </c>
      <c r="E880" t="s">
        <v>2115</v>
      </c>
      <c r="F880" t="s">
        <v>2118</v>
      </c>
      <c r="G880" t="s">
        <v>2128</v>
      </c>
      <c r="H880" t="s">
        <v>2128</v>
      </c>
      <c r="I880" t="s">
        <v>2143</v>
      </c>
      <c r="J880" t="s">
        <v>2149</v>
      </c>
      <c r="K880" t="s">
        <v>2163</v>
      </c>
      <c r="L880" s="3">
        <v>1</v>
      </c>
      <c r="M880" s="2">
        <v>63460.75</v>
      </c>
      <c r="N880" s="5">
        <v>0</v>
      </c>
      <c r="O880" s="2">
        <v>63460.75</v>
      </c>
      <c r="P880" s="2">
        <v>8080.78</v>
      </c>
      <c r="Q880" t="s">
        <v>2168</v>
      </c>
    </row>
    <row r="881" spans="1:17">
      <c r="A881" t="s">
        <v>896</v>
      </c>
      <c r="B881" s="1">
        <v>45870</v>
      </c>
      <c r="C881" t="s">
        <v>1545</v>
      </c>
      <c r="D881" t="s">
        <v>1843</v>
      </c>
      <c r="E881" t="s">
        <v>2115</v>
      </c>
      <c r="F881" t="s">
        <v>2117</v>
      </c>
      <c r="G881" t="s">
        <v>2123</v>
      </c>
      <c r="H881" t="s">
        <v>2134</v>
      </c>
      <c r="I881" t="s">
        <v>2144</v>
      </c>
      <c r="J881" t="s">
        <v>2147</v>
      </c>
      <c r="K881" t="s">
        <v>2155</v>
      </c>
      <c r="L881" s="3">
        <v>3</v>
      </c>
      <c r="M881" s="2">
        <v>740.51</v>
      </c>
      <c r="N881" s="5">
        <v>0.1</v>
      </c>
      <c r="O881" s="2">
        <v>1999.38</v>
      </c>
      <c r="P881" s="2">
        <v>376.89</v>
      </c>
      <c r="Q881" t="s">
        <v>2167</v>
      </c>
    </row>
    <row r="882" spans="1:17">
      <c r="A882" t="s">
        <v>897</v>
      </c>
      <c r="B882" s="1">
        <v>45870</v>
      </c>
      <c r="C882" t="s">
        <v>1525</v>
      </c>
      <c r="D882" t="s">
        <v>1823</v>
      </c>
      <c r="E882" t="s">
        <v>2113</v>
      </c>
      <c r="F882" t="s">
        <v>2116</v>
      </c>
      <c r="G882" t="s">
        <v>2127</v>
      </c>
      <c r="H882" t="s">
        <v>2138</v>
      </c>
      <c r="I882" t="s">
        <v>2143</v>
      </c>
      <c r="J882" t="s">
        <v>2148</v>
      </c>
      <c r="K882" t="s">
        <v>2156</v>
      </c>
      <c r="L882" s="3">
        <v>5</v>
      </c>
      <c r="M882" s="2">
        <v>1169.2</v>
      </c>
      <c r="N882" s="5">
        <v>0.15</v>
      </c>
      <c r="O882" s="2">
        <v>4969.1000000000004</v>
      </c>
      <c r="P882" s="2">
        <v>167.27</v>
      </c>
      <c r="Q882" t="s">
        <v>2167</v>
      </c>
    </row>
    <row r="883" spans="1:17">
      <c r="A883" t="s">
        <v>898</v>
      </c>
      <c r="B883" s="1">
        <v>45871</v>
      </c>
      <c r="C883" t="s">
        <v>1706</v>
      </c>
      <c r="D883" t="s">
        <v>2004</v>
      </c>
      <c r="E883" t="s">
        <v>2113</v>
      </c>
      <c r="F883" t="s">
        <v>2119</v>
      </c>
      <c r="G883" t="s">
        <v>2130</v>
      </c>
      <c r="H883" t="s">
        <v>2141</v>
      </c>
      <c r="I883" t="s">
        <v>2144</v>
      </c>
      <c r="J883" t="s">
        <v>2147</v>
      </c>
      <c r="K883" t="s">
        <v>2155</v>
      </c>
      <c r="L883" s="3">
        <v>2</v>
      </c>
      <c r="M883" s="2">
        <v>727.58</v>
      </c>
      <c r="N883" s="5">
        <v>0</v>
      </c>
      <c r="O883" s="2">
        <v>1455.16</v>
      </c>
      <c r="P883" s="2">
        <v>482.31</v>
      </c>
      <c r="Q883" t="s">
        <v>2168</v>
      </c>
    </row>
    <row r="884" spans="1:17">
      <c r="A884" t="s">
        <v>899</v>
      </c>
      <c r="B884" s="1">
        <v>45871</v>
      </c>
      <c r="C884" t="s">
        <v>1566</v>
      </c>
      <c r="D884" t="s">
        <v>1864</v>
      </c>
      <c r="E884" t="s">
        <v>2114</v>
      </c>
      <c r="F884" t="s">
        <v>2116</v>
      </c>
      <c r="G884" t="s">
        <v>2127</v>
      </c>
      <c r="H884" t="s">
        <v>2140</v>
      </c>
      <c r="I884" t="s">
        <v>2142</v>
      </c>
      <c r="J884" t="s">
        <v>2147</v>
      </c>
      <c r="K884" t="s">
        <v>2157</v>
      </c>
      <c r="L884" s="3">
        <v>2</v>
      </c>
      <c r="M884" s="2">
        <v>14401.12</v>
      </c>
      <c r="N884" s="5">
        <v>0.05</v>
      </c>
      <c r="O884" s="2">
        <v>27362.13</v>
      </c>
      <c r="P884" s="2">
        <v>6403.63</v>
      </c>
      <c r="Q884" t="s">
        <v>2168</v>
      </c>
    </row>
    <row r="885" spans="1:17">
      <c r="A885" t="s">
        <v>900</v>
      </c>
      <c r="B885" s="1">
        <v>45871</v>
      </c>
      <c r="C885" t="s">
        <v>1735</v>
      </c>
      <c r="D885" t="s">
        <v>2033</v>
      </c>
      <c r="E885" t="s">
        <v>2114</v>
      </c>
      <c r="F885" t="s">
        <v>2118</v>
      </c>
      <c r="G885" t="s">
        <v>2126</v>
      </c>
      <c r="H885" t="s">
        <v>2137</v>
      </c>
      <c r="I885" t="s">
        <v>2144</v>
      </c>
      <c r="J885" t="s">
        <v>2147</v>
      </c>
      <c r="K885" t="s">
        <v>2155</v>
      </c>
      <c r="L885" s="3">
        <v>4</v>
      </c>
      <c r="M885" s="2">
        <v>775.79</v>
      </c>
      <c r="N885" s="5">
        <v>0</v>
      </c>
      <c r="O885" s="2">
        <v>3103.16</v>
      </c>
      <c r="P885" s="2">
        <v>751.17</v>
      </c>
      <c r="Q885" t="s">
        <v>2169</v>
      </c>
    </row>
    <row r="886" spans="1:17">
      <c r="A886" t="s">
        <v>901</v>
      </c>
      <c r="B886" s="1">
        <v>45871</v>
      </c>
      <c r="C886" t="s">
        <v>1794</v>
      </c>
      <c r="D886" t="s">
        <v>2092</v>
      </c>
      <c r="E886" t="s">
        <v>2115</v>
      </c>
      <c r="F886" t="s">
        <v>2119</v>
      </c>
      <c r="G886" t="s">
        <v>2130</v>
      </c>
      <c r="H886" t="s">
        <v>2141</v>
      </c>
      <c r="I886" t="s">
        <v>2143</v>
      </c>
      <c r="J886" t="s">
        <v>2148</v>
      </c>
      <c r="K886" t="s">
        <v>2156</v>
      </c>
      <c r="L886" s="3">
        <v>1</v>
      </c>
      <c r="M886" s="2">
        <v>1244.28</v>
      </c>
      <c r="N886" s="5">
        <v>0</v>
      </c>
      <c r="O886" s="2">
        <v>1244.28</v>
      </c>
      <c r="P886" s="2">
        <v>133.56</v>
      </c>
      <c r="Q886" t="s">
        <v>2170</v>
      </c>
    </row>
    <row r="887" spans="1:17">
      <c r="A887" t="s">
        <v>902</v>
      </c>
      <c r="B887" s="1">
        <v>45871</v>
      </c>
      <c r="C887" t="s">
        <v>1777</v>
      </c>
      <c r="D887" t="s">
        <v>2075</v>
      </c>
      <c r="E887" t="s">
        <v>2114</v>
      </c>
      <c r="F887" t="s">
        <v>2119</v>
      </c>
      <c r="G887" t="s">
        <v>2129</v>
      </c>
      <c r="H887" t="s">
        <v>2139</v>
      </c>
      <c r="I887" t="s">
        <v>2143</v>
      </c>
      <c r="J887" t="s">
        <v>2146</v>
      </c>
      <c r="K887" t="s">
        <v>2164</v>
      </c>
      <c r="L887" s="3">
        <v>1</v>
      </c>
      <c r="M887" s="2">
        <v>17553.169999999998</v>
      </c>
      <c r="N887" s="5">
        <v>0.05</v>
      </c>
      <c r="O887" s="2">
        <v>16675.509999999998</v>
      </c>
      <c r="P887" s="2">
        <v>1959.04</v>
      </c>
      <c r="Q887" t="s">
        <v>2168</v>
      </c>
    </row>
    <row r="888" spans="1:17">
      <c r="A888" t="s">
        <v>903</v>
      </c>
      <c r="B888" s="1">
        <v>45871</v>
      </c>
      <c r="C888" t="s">
        <v>1602</v>
      </c>
      <c r="D888" t="s">
        <v>1900</v>
      </c>
      <c r="E888" t="s">
        <v>2114</v>
      </c>
      <c r="F888" t="s">
        <v>2118</v>
      </c>
      <c r="G888" t="s">
        <v>2128</v>
      </c>
      <c r="H888" t="s">
        <v>2128</v>
      </c>
      <c r="I888" t="s">
        <v>2143</v>
      </c>
      <c r="J888" t="s">
        <v>2148</v>
      </c>
      <c r="K888" t="s">
        <v>2161</v>
      </c>
      <c r="L888" s="3">
        <v>2</v>
      </c>
      <c r="M888" s="2">
        <v>1825.13</v>
      </c>
      <c r="N888" s="5">
        <v>0.1</v>
      </c>
      <c r="O888" s="2">
        <v>3285.23</v>
      </c>
      <c r="P888" s="2">
        <v>456.42</v>
      </c>
      <c r="Q888" t="s">
        <v>2170</v>
      </c>
    </row>
    <row r="889" spans="1:17">
      <c r="A889" t="s">
        <v>904</v>
      </c>
      <c r="B889" s="1">
        <v>45871</v>
      </c>
      <c r="C889" t="s">
        <v>1710</v>
      </c>
      <c r="D889" t="s">
        <v>2008</v>
      </c>
      <c r="E889" t="s">
        <v>2114</v>
      </c>
      <c r="F889" t="s">
        <v>2116</v>
      </c>
      <c r="G889" t="s">
        <v>2120</v>
      </c>
      <c r="H889" t="s">
        <v>2131</v>
      </c>
      <c r="I889" t="s">
        <v>2142</v>
      </c>
      <c r="J889" t="s">
        <v>2145</v>
      </c>
      <c r="K889" t="s">
        <v>2165</v>
      </c>
      <c r="L889" s="3">
        <v>1</v>
      </c>
      <c r="M889" s="2">
        <v>6564.55</v>
      </c>
      <c r="N889" s="5">
        <v>0.1</v>
      </c>
      <c r="O889" s="2">
        <v>5908.1</v>
      </c>
      <c r="P889" s="2">
        <v>715.28</v>
      </c>
      <c r="Q889" t="s">
        <v>2169</v>
      </c>
    </row>
    <row r="890" spans="1:17">
      <c r="A890" t="s">
        <v>905</v>
      </c>
      <c r="B890" s="1">
        <v>45871</v>
      </c>
      <c r="C890" t="s">
        <v>1628</v>
      </c>
      <c r="D890" t="s">
        <v>1926</v>
      </c>
      <c r="E890" t="s">
        <v>2114</v>
      </c>
      <c r="F890" t="s">
        <v>2116</v>
      </c>
      <c r="G890" t="s">
        <v>2127</v>
      </c>
      <c r="H890" t="s">
        <v>2140</v>
      </c>
      <c r="I890" t="s">
        <v>2142</v>
      </c>
      <c r="J890" t="s">
        <v>2145</v>
      </c>
      <c r="K890" t="s">
        <v>2153</v>
      </c>
      <c r="L890" s="3">
        <v>2</v>
      </c>
      <c r="M890" s="2">
        <v>11908.96</v>
      </c>
      <c r="N890" s="5">
        <v>0.1</v>
      </c>
      <c r="O890" s="2">
        <v>21436.13</v>
      </c>
      <c r="P890" s="2">
        <v>4383.09</v>
      </c>
      <c r="Q890" t="s">
        <v>2168</v>
      </c>
    </row>
    <row r="891" spans="1:17">
      <c r="A891" t="s">
        <v>906</v>
      </c>
      <c r="B891" s="1">
        <v>45872</v>
      </c>
      <c r="C891" t="s">
        <v>1777</v>
      </c>
      <c r="D891" t="s">
        <v>2075</v>
      </c>
      <c r="E891" t="s">
        <v>2115</v>
      </c>
      <c r="F891" t="s">
        <v>2118</v>
      </c>
      <c r="G891" t="s">
        <v>2128</v>
      </c>
      <c r="H891" t="s">
        <v>2128</v>
      </c>
      <c r="I891" t="s">
        <v>2144</v>
      </c>
      <c r="J891" t="s">
        <v>2147</v>
      </c>
      <c r="K891" t="s">
        <v>2155</v>
      </c>
      <c r="L891" s="3">
        <v>1</v>
      </c>
      <c r="M891" s="2">
        <v>759.61</v>
      </c>
      <c r="N891" s="5">
        <v>0.2</v>
      </c>
      <c r="O891" s="2">
        <v>607.69000000000005</v>
      </c>
      <c r="P891" s="2">
        <v>145.91999999999999</v>
      </c>
      <c r="Q891" t="s">
        <v>2167</v>
      </c>
    </row>
    <row r="892" spans="1:17">
      <c r="A892" t="s">
        <v>907</v>
      </c>
      <c r="B892" s="1">
        <v>45872</v>
      </c>
      <c r="C892" t="s">
        <v>1563</v>
      </c>
      <c r="D892" t="s">
        <v>1861</v>
      </c>
      <c r="E892" t="s">
        <v>2113</v>
      </c>
      <c r="F892" t="s">
        <v>2118</v>
      </c>
      <c r="G892" t="s">
        <v>2122</v>
      </c>
      <c r="H892" t="s">
        <v>2133</v>
      </c>
      <c r="I892" t="s">
        <v>2144</v>
      </c>
      <c r="J892" t="s">
        <v>2152</v>
      </c>
      <c r="K892" t="s">
        <v>2162</v>
      </c>
      <c r="L892" s="3">
        <v>2</v>
      </c>
      <c r="M892" s="2">
        <v>346.08</v>
      </c>
      <c r="N892" s="5">
        <v>0.05</v>
      </c>
      <c r="O892" s="2">
        <v>657.55</v>
      </c>
      <c r="P892" s="2">
        <v>119.61</v>
      </c>
      <c r="Q892" t="s">
        <v>2167</v>
      </c>
    </row>
    <row r="893" spans="1:17">
      <c r="A893" t="s">
        <v>908</v>
      </c>
      <c r="B893" s="1">
        <v>45872</v>
      </c>
      <c r="C893" t="s">
        <v>1792</v>
      </c>
      <c r="D893" t="s">
        <v>2090</v>
      </c>
      <c r="E893" t="s">
        <v>2115</v>
      </c>
      <c r="F893" t="s">
        <v>2119</v>
      </c>
      <c r="G893" t="s">
        <v>2130</v>
      </c>
      <c r="H893" t="s">
        <v>2141</v>
      </c>
      <c r="I893" t="s">
        <v>2143</v>
      </c>
      <c r="J893" t="s">
        <v>2148</v>
      </c>
      <c r="K893" t="s">
        <v>2156</v>
      </c>
      <c r="L893" s="3">
        <v>3</v>
      </c>
      <c r="M893" s="2">
        <v>1178.92</v>
      </c>
      <c r="N893" s="5">
        <v>0.1</v>
      </c>
      <c r="O893" s="2">
        <v>3183.08</v>
      </c>
      <c r="P893" s="2">
        <v>317.94</v>
      </c>
      <c r="Q893" t="s">
        <v>2170</v>
      </c>
    </row>
    <row r="894" spans="1:17">
      <c r="A894" t="s">
        <v>909</v>
      </c>
      <c r="B894" s="1">
        <v>45872</v>
      </c>
      <c r="C894" t="s">
        <v>1719</v>
      </c>
      <c r="D894" t="s">
        <v>2017</v>
      </c>
      <c r="E894" t="s">
        <v>2115</v>
      </c>
      <c r="F894" t="s">
        <v>2116</v>
      </c>
      <c r="G894" t="s">
        <v>2127</v>
      </c>
      <c r="H894" t="s">
        <v>2140</v>
      </c>
      <c r="I894" t="s">
        <v>2144</v>
      </c>
      <c r="J894" t="s">
        <v>2147</v>
      </c>
      <c r="K894" t="s">
        <v>2155</v>
      </c>
      <c r="L894" s="3">
        <v>4</v>
      </c>
      <c r="M894" s="2">
        <v>760.23</v>
      </c>
      <c r="N894" s="5">
        <v>0</v>
      </c>
      <c r="O894" s="2">
        <v>3040.92</v>
      </c>
      <c r="P894" s="2">
        <v>487.24</v>
      </c>
      <c r="Q894" t="s">
        <v>2167</v>
      </c>
    </row>
    <row r="895" spans="1:17">
      <c r="A895" t="s">
        <v>910</v>
      </c>
      <c r="B895" s="1">
        <v>45873</v>
      </c>
      <c r="C895" t="s">
        <v>1751</v>
      </c>
      <c r="D895" t="s">
        <v>2049</v>
      </c>
      <c r="E895" t="s">
        <v>2114</v>
      </c>
      <c r="F895" t="s">
        <v>2116</v>
      </c>
      <c r="G895" t="s">
        <v>2127</v>
      </c>
      <c r="H895" t="s">
        <v>2140</v>
      </c>
      <c r="I895" t="s">
        <v>2142</v>
      </c>
      <c r="J895" t="s">
        <v>2145</v>
      </c>
      <c r="K895" t="s">
        <v>2165</v>
      </c>
      <c r="L895" s="3">
        <v>4</v>
      </c>
      <c r="M895" s="2">
        <v>6615.58</v>
      </c>
      <c r="N895" s="5">
        <v>0</v>
      </c>
      <c r="O895" s="2">
        <v>26462.32</v>
      </c>
      <c r="P895" s="2">
        <v>5748.68</v>
      </c>
      <c r="Q895" t="s">
        <v>2170</v>
      </c>
    </row>
    <row r="896" spans="1:17">
      <c r="A896" t="s">
        <v>911</v>
      </c>
      <c r="B896" s="1">
        <v>45873</v>
      </c>
      <c r="C896" t="s">
        <v>1608</v>
      </c>
      <c r="D896" t="s">
        <v>1906</v>
      </c>
      <c r="E896" t="s">
        <v>2113</v>
      </c>
      <c r="F896" t="s">
        <v>2116</v>
      </c>
      <c r="G896" t="s">
        <v>2127</v>
      </c>
      <c r="H896" t="s">
        <v>2140</v>
      </c>
      <c r="I896" t="s">
        <v>2143</v>
      </c>
      <c r="J896" t="s">
        <v>2149</v>
      </c>
      <c r="K896" t="s">
        <v>2158</v>
      </c>
      <c r="L896" s="3">
        <v>5</v>
      </c>
      <c r="M896" s="2">
        <v>47724.5</v>
      </c>
      <c r="N896" s="5">
        <v>0.1</v>
      </c>
      <c r="O896" s="2">
        <v>214760.25</v>
      </c>
      <c r="P896" s="2">
        <v>30996.23</v>
      </c>
      <c r="Q896" t="s">
        <v>2167</v>
      </c>
    </row>
    <row r="897" spans="1:17">
      <c r="A897" t="s">
        <v>912</v>
      </c>
      <c r="B897" s="1">
        <v>45873</v>
      </c>
      <c r="C897" t="s">
        <v>1554</v>
      </c>
      <c r="D897" t="s">
        <v>1852</v>
      </c>
      <c r="E897" t="s">
        <v>2114</v>
      </c>
      <c r="F897" t="s">
        <v>2116</v>
      </c>
      <c r="G897" t="s">
        <v>2127</v>
      </c>
      <c r="H897" t="s">
        <v>2138</v>
      </c>
      <c r="I897" t="s">
        <v>2143</v>
      </c>
      <c r="J897" t="s">
        <v>2146</v>
      </c>
      <c r="K897" t="s">
        <v>2164</v>
      </c>
      <c r="L897" s="3">
        <v>4</v>
      </c>
      <c r="M897" s="2">
        <v>18133.490000000002</v>
      </c>
      <c r="N897" s="5">
        <v>0.05</v>
      </c>
      <c r="O897" s="2">
        <v>68907.259999999995</v>
      </c>
      <c r="P897" s="2">
        <v>9577.16</v>
      </c>
      <c r="Q897" t="s">
        <v>2170</v>
      </c>
    </row>
    <row r="898" spans="1:17">
      <c r="A898" t="s">
        <v>913</v>
      </c>
      <c r="B898" s="1">
        <v>45873</v>
      </c>
      <c r="C898" t="s">
        <v>1638</v>
      </c>
      <c r="D898" t="s">
        <v>1936</v>
      </c>
      <c r="E898" t="s">
        <v>2113</v>
      </c>
      <c r="F898" t="s">
        <v>2117</v>
      </c>
      <c r="G898" t="s">
        <v>2125</v>
      </c>
      <c r="H898" t="s">
        <v>2136</v>
      </c>
      <c r="I898" t="s">
        <v>2142</v>
      </c>
      <c r="J898" t="s">
        <v>2145</v>
      </c>
      <c r="K898" t="s">
        <v>2153</v>
      </c>
      <c r="L898" s="3">
        <v>2</v>
      </c>
      <c r="M898" s="2">
        <v>11425.73</v>
      </c>
      <c r="N898" s="5">
        <v>0.2</v>
      </c>
      <c r="O898" s="2">
        <v>18281.169999999998</v>
      </c>
      <c r="P898" s="2">
        <v>3112.28</v>
      </c>
      <c r="Q898" t="s">
        <v>2170</v>
      </c>
    </row>
    <row r="899" spans="1:17">
      <c r="A899" t="s">
        <v>914</v>
      </c>
      <c r="B899" s="1">
        <v>45874</v>
      </c>
      <c r="C899" t="s">
        <v>1568</v>
      </c>
      <c r="D899" t="s">
        <v>1866</v>
      </c>
      <c r="E899" t="s">
        <v>2114</v>
      </c>
      <c r="F899" t="s">
        <v>2117</v>
      </c>
      <c r="G899" t="s">
        <v>2123</v>
      </c>
      <c r="H899" t="s">
        <v>2134</v>
      </c>
      <c r="I899" t="s">
        <v>2143</v>
      </c>
      <c r="J899" t="s">
        <v>2146</v>
      </c>
      <c r="K899" t="s">
        <v>2154</v>
      </c>
      <c r="L899" s="3">
        <v>1</v>
      </c>
      <c r="M899" s="2">
        <v>43190.23</v>
      </c>
      <c r="N899" s="5">
        <v>0</v>
      </c>
      <c r="O899" s="2">
        <v>43190.23</v>
      </c>
      <c r="P899" s="2">
        <v>8953.14</v>
      </c>
      <c r="Q899" t="s">
        <v>2170</v>
      </c>
    </row>
    <row r="900" spans="1:17">
      <c r="A900" t="s">
        <v>915</v>
      </c>
      <c r="B900" s="1">
        <v>45874</v>
      </c>
      <c r="C900" t="s">
        <v>1661</v>
      </c>
      <c r="D900" t="s">
        <v>1959</v>
      </c>
      <c r="E900" t="s">
        <v>2114</v>
      </c>
      <c r="F900" t="s">
        <v>2119</v>
      </c>
      <c r="G900" t="s">
        <v>2130</v>
      </c>
      <c r="H900" t="s">
        <v>2141</v>
      </c>
      <c r="I900" t="s">
        <v>2142</v>
      </c>
      <c r="J900" t="s">
        <v>2145</v>
      </c>
      <c r="K900" t="s">
        <v>2153</v>
      </c>
      <c r="L900" s="3">
        <v>5</v>
      </c>
      <c r="M900" s="2">
        <v>12296.78</v>
      </c>
      <c r="N900" s="5">
        <v>0.15</v>
      </c>
      <c r="O900" s="2">
        <v>52261.32</v>
      </c>
      <c r="P900" s="2">
        <v>8850.33</v>
      </c>
      <c r="Q900" t="s">
        <v>2170</v>
      </c>
    </row>
    <row r="901" spans="1:17">
      <c r="A901" t="s">
        <v>916</v>
      </c>
      <c r="B901" s="1">
        <v>45874</v>
      </c>
      <c r="C901" t="s">
        <v>1807</v>
      </c>
      <c r="D901" t="s">
        <v>2105</v>
      </c>
      <c r="E901" t="s">
        <v>2113</v>
      </c>
      <c r="F901" t="s">
        <v>2117</v>
      </c>
      <c r="G901" t="s">
        <v>2123</v>
      </c>
      <c r="H901" t="s">
        <v>2134</v>
      </c>
      <c r="I901" t="s">
        <v>2143</v>
      </c>
      <c r="J901" t="s">
        <v>2149</v>
      </c>
      <c r="K901" t="s">
        <v>2158</v>
      </c>
      <c r="L901" s="3">
        <v>3</v>
      </c>
      <c r="M901" s="2">
        <v>47089.91</v>
      </c>
      <c r="N901" s="5">
        <v>0.1</v>
      </c>
      <c r="O901" s="2">
        <v>127142.76</v>
      </c>
      <c r="P901" s="2">
        <v>19909.8</v>
      </c>
      <c r="Q901" t="s">
        <v>2167</v>
      </c>
    </row>
    <row r="902" spans="1:17">
      <c r="A902" t="s">
        <v>917</v>
      </c>
      <c r="B902" s="1">
        <v>45874</v>
      </c>
      <c r="C902" t="s">
        <v>1548</v>
      </c>
      <c r="D902" t="s">
        <v>1846</v>
      </c>
      <c r="E902" t="s">
        <v>2113</v>
      </c>
      <c r="F902" t="s">
        <v>2117</v>
      </c>
      <c r="G902" t="s">
        <v>2121</v>
      </c>
      <c r="H902" t="s">
        <v>2132</v>
      </c>
      <c r="I902" t="s">
        <v>2143</v>
      </c>
      <c r="J902" t="s">
        <v>2148</v>
      </c>
      <c r="K902" t="s">
        <v>2161</v>
      </c>
      <c r="L902" s="3">
        <v>1</v>
      </c>
      <c r="M902" s="2">
        <v>1846.62</v>
      </c>
      <c r="N902" s="5">
        <v>0.1</v>
      </c>
      <c r="O902" s="2">
        <v>1661.96</v>
      </c>
      <c r="P902" s="2">
        <v>118.84</v>
      </c>
      <c r="Q902" t="s">
        <v>2168</v>
      </c>
    </row>
    <row r="903" spans="1:17">
      <c r="A903" t="s">
        <v>918</v>
      </c>
      <c r="B903" s="1">
        <v>45874</v>
      </c>
      <c r="C903" t="s">
        <v>1651</v>
      </c>
      <c r="D903" t="s">
        <v>1949</v>
      </c>
      <c r="E903" t="s">
        <v>2114</v>
      </c>
      <c r="F903" t="s">
        <v>2117</v>
      </c>
      <c r="G903" t="s">
        <v>2125</v>
      </c>
      <c r="H903" t="s">
        <v>2136</v>
      </c>
      <c r="I903" t="s">
        <v>2142</v>
      </c>
      <c r="J903" t="s">
        <v>2151</v>
      </c>
      <c r="K903" t="s">
        <v>2160</v>
      </c>
      <c r="L903" s="3">
        <v>4</v>
      </c>
      <c r="M903" s="2">
        <v>8273.83</v>
      </c>
      <c r="N903" s="5">
        <v>0.15</v>
      </c>
      <c r="O903" s="2">
        <v>28131.02</v>
      </c>
      <c r="P903" s="2">
        <v>3102.39</v>
      </c>
      <c r="Q903" t="s">
        <v>2169</v>
      </c>
    </row>
    <row r="904" spans="1:17">
      <c r="A904" t="s">
        <v>919</v>
      </c>
      <c r="B904" s="1">
        <v>45875</v>
      </c>
      <c r="C904" t="s">
        <v>1536</v>
      </c>
      <c r="D904" t="s">
        <v>1834</v>
      </c>
      <c r="E904" t="s">
        <v>2115</v>
      </c>
      <c r="F904" t="s">
        <v>2119</v>
      </c>
      <c r="G904" t="s">
        <v>2124</v>
      </c>
      <c r="H904" t="s">
        <v>2135</v>
      </c>
      <c r="I904" t="s">
        <v>2142</v>
      </c>
      <c r="J904" t="s">
        <v>2145</v>
      </c>
      <c r="K904" t="s">
        <v>2165</v>
      </c>
      <c r="L904" s="3">
        <v>1</v>
      </c>
      <c r="M904" s="2">
        <v>6597.27</v>
      </c>
      <c r="N904" s="5">
        <v>0.2</v>
      </c>
      <c r="O904" s="2">
        <v>5277.82</v>
      </c>
      <c r="P904" s="2">
        <v>744.23</v>
      </c>
      <c r="Q904" t="s">
        <v>2167</v>
      </c>
    </row>
    <row r="905" spans="1:17">
      <c r="A905" t="s">
        <v>920</v>
      </c>
      <c r="B905" s="1">
        <v>45875</v>
      </c>
      <c r="C905" t="s">
        <v>1786</v>
      </c>
      <c r="D905" t="s">
        <v>2084</v>
      </c>
      <c r="E905" t="s">
        <v>2114</v>
      </c>
      <c r="F905" t="s">
        <v>2118</v>
      </c>
      <c r="G905" t="s">
        <v>2122</v>
      </c>
      <c r="H905" t="s">
        <v>2133</v>
      </c>
      <c r="I905" t="s">
        <v>2143</v>
      </c>
      <c r="J905" t="s">
        <v>2149</v>
      </c>
      <c r="K905" t="s">
        <v>2158</v>
      </c>
      <c r="L905" s="3">
        <v>1</v>
      </c>
      <c r="M905" s="2">
        <v>48249.760000000002</v>
      </c>
      <c r="N905" s="5">
        <v>0</v>
      </c>
      <c r="O905" s="2">
        <v>48249.760000000002</v>
      </c>
      <c r="P905" s="2">
        <v>6274.05</v>
      </c>
      <c r="Q905" t="s">
        <v>2169</v>
      </c>
    </row>
    <row r="906" spans="1:17">
      <c r="A906" t="s">
        <v>921</v>
      </c>
      <c r="B906" s="1">
        <v>45876</v>
      </c>
      <c r="C906" t="s">
        <v>1667</v>
      </c>
      <c r="D906" t="s">
        <v>1965</v>
      </c>
      <c r="E906" t="s">
        <v>2113</v>
      </c>
      <c r="F906" t="s">
        <v>2118</v>
      </c>
      <c r="G906" t="s">
        <v>2128</v>
      </c>
      <c r="H906" t="s">
        <v>2128</v>
      </c>
      <c r="I906" t="s">
        <v>2142</v>
      </c>
      <c r="J906" t="s">
        <v>2147</v>
      </c>
      <c r="K906" t="s">
        <v>2157</v>
      </c>
      <c r="L906" s="3">
        <v>5</v>
      </c>
      <c r="M906" s="2">
        <v>14514</v>
      </c>
      <c r="N906" s="5">
        <v>0.05</v>
      </c>
      <c r="O906" s="2">
        <v>68941.5</v>
      </c>
      <c r="P906" s="2">
        <v>17276.990000000002</v>
      </c>
      <c r="Q906" t="s">
        <v>2167</v>
      </c>
    </row>
    <row r="907" spans="1:17">
      <c r="A907" t="s">
        <v>922</v>
      </c>
      <c r="B907" s="1">
        <v>45876</v>
      </c>
      <c r="C907" t="s">
        <v>1733</v>
      </c>
      <c r="D907" t="s">
        <v>2031</v>
      </c>
      <c r="E907" t="s">
        <v>2113</v>
      </c>
      <c r="F907" t="s">
        <v>2118</v>
      </c>
      <c r="G907" t="s">
        <v>2122</v>
      </c>
      <c r="H907" t="s">
        <v>2133</v>
      </c>
      <c r="I907" t="s">
        <v>2143</v>
      </c>
      <c r="J907" t="s">
        <v>2149</v>
      </c>
      <c r="K907" t="s">
        <v>2163</v>
      </c>
      <c r="L907" s="3">
        <v>3</v>
      </c>
      <c r="M907" s="2">
        <v>67500.39</v>
      </c>
      <c r="N907" s="5">
        <v>0</v>
      </c>
      <c r="O907" s="2">
        <v>202501.17</v>
      </c>
      <c r="P907" s="2">
        <v>33670.15</v>
      </c>
      <c r="Q907" t="s">
        <v>2169</v>
      </c>
    </row>
    <row r="908" spans="1:17">
      <c r="A908" t="s">
        <v>923</v>
      </c>
      <c r="B908" s="1">
        <v>45876</v>
      </c>
      <c r="C908" t="s">
        <v>1786</v>
      </c>
      <c r="D908" t="s">
        <v>2084</v>
      </c>
      <c r="E908" t="s">
        <v>2114</v>
      </c>
      <c r="F908" t="s">
        <v>2117</v>
      </c>
      <c r="G908" t="s">
        <v>2123</v>
      </c>
      <c r="H908" t="s">
        <v>2134</v>
      </c>
      <c r="I908" t="s">
        <v>2143</v>
      </c>
      <c r="J908" t="s">
        <v>2148</v>
      </c>
      <c r="K908" t="s">
        <v>2156</v>
      </c>
      <c r="L908" s="3">
        <v>3</v>
      </c>
      <c r="M908" s="2">
        <v>1156.8</v>
      </c>
      <c r="N908" s="5">
        <v>0</v>
      </c>
      <c r="O908" s="2">
        <v>3470.4</v>
      </c>
      <c r="P908" s="2">
        <v>405.74</v>
      </c>
      <c r="Q908" t="s">
        <v>2170</v>
      </c>
    </row>
    <row r="909" spans="1:17">
      <c r="A909" t="s">
        <v>924</v>
      </c>
      <c r="B909" s="1">
        <v>45877</v>
      </c>
      <c r="C909" t="s">
        <v>1651</v>
      </c>
      <c r="D909" t="s">
        <v>1949</v>
      </c>
      <c r="E909" t="s">
        <v>2114</v>
      </c>
      <c r="F909" t="s">
        <v>2116</v>
      </c>
      <c r="G909" t="s">
        <v>2127</v>
      </c>
      <c r="H909" t="s">
        <v>2138</v>
      </c>
      <c r="I909" t="s">
        <v>2144</v>
      </c>
      <c r="J909" t="s">
        <v>2152</v>
      </c>
      <c r="K909" t="s">
        <v>2166</v>
      </c>
      <c r="L909" s="3">
        <v>4</v>
      </c>
      <c r="M909" s="2">
        <v>586.30999999999995</v>
      </c>
      <c r="N909" s="5">
        <v>0.1</v>
      </c>
      <c r="O909" s="2">
        <v>2110.7199999999998</v>
      </c>
      <c r="P909" s="2">
        <v>432.42</v>
      </c>
      <c r="Q909" t="s">
        <v>2167</v>
      </c>
    </row>
    <row r="910" spans="1:17">
      <c r="A910" t="s">
        <v>925</v>
      </c>
      <c r="B910" s="1">
        <v>45877</v>
      </c>
      <c r="C910" t="s">
        <v>1570</v>
      </c>
      <c r="D910" t="s">
        <v>1868</v>
      </c>
      <c r="E910" t="s">
        <v>2113</v>
      </c>
      <c r="F910" t="s">
        <v>2118</v>
      </c>
      <c r="G910" t="s">
        <v>2128</v>
      </c>
      <c r="H910" t="s">
        <v>2128</v>
      </c>
      <c r="I910" t="s">
        <v>2143</v>
      </c>
      <c r="J910" t="s">
        <v>2146</v>
      </c>
      <c r="K910" t="s">
        <v>2164</v>
      </c>
      <c r="L910" s="3">
        <v>1</v>
      </c>
      <c r="M910" s="2">
        <v>17902.490000000002</v>
      </c>
      <c r="N910" s="5">
        <v>0</v>
      </c>
      <c r="O910" s="2">
        <v>17902.490000000002</v>
      </c>
      <c r="P910" s="2">
        <v>3479.02</v>
      </c>
      <c r="Q910" t="s">
        <v>2167</v>
      </c>
    </row>
    <row r="911" spans="1:17">
      <c r="A911" t="s">
        <v>926</v>
      </c>
      <c r="B911" s="1">
        <v>45877</v>
      </c>
      <c r="C911" t="s">
        <v>1664</v>
      </c>
      <c r="D911" t="s">
        <v>1962</v>
      </c>
      <c r="E911" t="s">
        <v>2114</v>
      </c>
      <c r="F911" t="s">
        <v>2119</v>
      </c>
      <c r="G911" t="s">
        <v>2130</v>
      </c>
      <c r="H911" t="s">
        <v>2141</v>
      </c>
      <c r="I911" t="s">
        <v>2142</v>
      </c>
      <c r="J911" t="s">
        <v>2147</v>
      </c>
      <c r="K911" t="s">
        <v>2157</v>
      </c>
      <c r="L911" s="3">
        <v>1</v>
      </c>
      <c r="M911" s="2">
        <v>14479.95</v>
      </c>
      <c r="N911" s="5">
        <v>0</v>
      </c>
      <c r="O911" s="2">
        <v>14479.95</v>
      </c>
      <c r="P911" s="2">
        <v>1990.16</v>
      </c>
      <c r="Q911" t="s">
        <v>2170</v>
      </c>
    </row>
    <row r="912" spans="1:17">
      <c r="A912" t="s">
        <v>927</v>
      </c>
      <c r="B912" s="1">
        <v>45877</v>
      </c>
      <c r="C912" t="s">
        <v>1536</v>
      </c>
      <c r="D912" t="s">
        <v>1834</v>
      </c>
      <c r="E912" t="s">
        <v>2114</v>
      </c>
      <c r="F912" t="s">
        <v>2116</v>
      </c>
      <c r="G912" t="s">
        <v>2127</v>
      </c>
      <c r="H912" t="s">
        <v>2140</v>
      </c>
      <c r="I912" t="s">
        <v>2142</v>
      </c>
      <c r="J912" t="s">
        <v>2147</v>
      </c>
      <c r="K912" t="s">
        <v>2157</v>
      </c>
      <c r="L912" s="3">
        <v>2</v>
      </c>
      <c r="M912" s="2">
        <v>14204.29</v>
      </c>
      <c r="N912" s="5">
        <v>0.1</v>
      </c>
      <c r="O912" s="2">
        <v>25567.72</v>
      </c>
      <c r="P912" s="2">
        <v>5610.44</v>
      </c>
      <c r="Q912" t="s">
        <v>2168</v>
      </c>
    </row>
    <row r="913" spans="1:17">
      <c r="A913" t="s">
        <v>928</v>
      </c>
      <c r="B913" s="1">
        <v>45877</v>
      </c>
      <c r="C913" t="s">
        <v>1702</v>
      </c>
      <c r="D913" t="s">
        <v>2000</v>
      </c>
      <c r="E913" t="s">
        <v>2113</v>
      </c>
      <c r="F913" t="s">
        <v>2119</v>
      </c>
      <c r="G913" t="s">
        <v>2129</v>
      </c>
      <c r="H913" t="s">
        <v>2139</v>
      </c>
      <c r="I913" t="s">
        <v>2142</v>
      </c>
      <c r="J913" t="s">
        <v>2145</v>
      </c>
      <c r="K913" t="s">
        <v>2165</v>
      </c>
      <c r="L913" s="3">
        <v>1</v>
      </c>
      <c r="M913" s="2">
        <v>6492.08</v>
      </c>
      <c r="N913" s="5">
        <v>0</v>
      </c>
      <c r="O913" s="2">
        <v>6492.08</v>
      </c>
      <c r="P913" s="2">
        <v>1105.82</v>
      </c>
      <c r="Q913" t="s">
        <v>2170</v>
      </c>
    </row>
    <row r="914" spans="1:17">
      <c r="A914" t="s">
        <v>929</v>
      </c>
      <c r="B914" s="1">
        <v>45877</v>
      </c>
      <c r="C914" t="s">
        <v>1531</v>
      </c>
      <c r="D914" t="s">
        <v>1829</v>
      </c>
      <c r="E914" t="s">
        <v>2113</v>
      </c>
      <c r="F914" t="s">
        <v>2119</v>
      </c>
      <c r="G914" t="s">
        <v>2124</v>
      </c>
      <c r="H914" t="s">
        <v>2135</v>
      </c>
      <c r="I914" t="s">
        <v>2143</v>
      </c>
      <c r="J914" t="s">
        <v>2149</v>
      </c>
      <c r="K914" t="s">
        <v>2163</v>
      </c>
      <c r="L914" s="3">
        <v>4</v>
      </c>
      <c r="M914" s="2">
        <v>67425.210000000006</v>
      </c>
      <c r="N914" s="5">
        <v>0</v>
      </c>
      <c r="O914" s="2">
        <v>269700.84000000003</v>
      </c>
      <c r="P914" s="2">
        <v>51385.81</v>
      </c>
      <c r="Q914" t="s">
        <v>2169</v>
      </c>
    </row>
    <row r="915" spans="1:17">
      <c r="A915" t="s">
        <v>930</v>
      </c>
      <c r="B915" s="1">
        <v>45878</v>
      </c>
      <c r="C915" t="s">
        <v>1577</v>
      </c>
      <c r="D915" t="s">
        <v>1875</v>
      </c>
      <c r="E915" t="s">
        <v>2114</v>
      </c>
      <c r="F915" t="s">
        <v>2119</v>
      </c>
      <c r="G915" t="s">
        <v>2124</v>
      </c>
      <c r="H915" t="s">
        <v>2135</v>
      </c>
      <c r="I915" t="s">
        <v>2142</v>
      </c>
      <c r="J915" t="s">
        <v>2151</v>
      </c>
      <c r="K915" t="s">
        <v>2160</v>
      </c>
      <c r="L915" s="3">
        <v>1</v>
      </c>
      <c r="M915" s="2">
        <v>8344.35</v>
      </c>
      <c r="N915" s="5">
        <v>0.05</v>
      </c>
      <c r="O915" s="2">
        <v>7927.13</v>
      </c>
      <c r="P915" s="2">
        <v>1303.75</v>
      </c>
      <c r="Q915" t="s">
        <v>2169</v>
      </c>
    </row>
    <row r="916" spans="1:17">
      <c r="A916" t="s">
        <v>931</v>
      </c>
      <c r="B916" s="1">
        <v>45878</v>
      </c>
      <c r="C916" t="s">
        <v>1575</v>
      </c>
      <c r="D916" t="s">
        <v>1873</v>
      </c>
      <c r="E916" t="s">
        <v>2114</v>
      </c>
      <c r="F916" t="s">
        <v>2117</v>
      </c>
      <c r="G916" t="s">
        <v>2123</v>
      </c>
      <c r="H916" t="s">
        <v>2134</v>
      </c>
      <c r="I916" t="s">
        <v>2142</v>
      </c>
      <c r="J916" t="s">
        <v>2151</v>
      </c>
      <c r="K916" t="s">
        <v>2160</v>
      </c>
      <c r="L916" s="3">
        <v>2</v>
      </c>
      <c r="M916" s="2">
        <v>8127.03</v>
      </c>
      <c r="N916" s="5">
        <v>0</v>
      </c>
      <c r="O916" s="2">
        <v>16254.06</v>
      </c>
      <c r="P916" s="2">
        <v>3487.25</v>
      </c>
      <c r="Q916" t="s">
        <v>2169</v>
      </c>
    </row>
    <row r="917" spans="1:17">
      <c r="A917" t="s">
        <v>932</v>
      </c>
      <c r="B917" s="1">
        <v>45878</v>
      </c>
      <c r="C917" t="s">
        <v>1801</v>
      </c>
      <c r="D917" t="s">
        <v>2099</v>
      </c>
      <c r="E917" t="s">
        <v>2114</v>
      </c>
      <c r="F917" t="s">
        <v>2119</v>
      </c>
      <c r="G917" t="s">
        <v>2130</v>
      </c>
      <c r="H917" t="s">
        <v>2141</v>
      </c>
      <c r="I917" t="s">
        <v>2142</v>
      </c>
      <c r="J917" t="s">
        <v>2147</v>
      </c>
      <c r="K917" t="s">
        <v>2157</v>
      </c>
      <c r="L917" s="3">
        <v>3</v>
      </c>
      <c r="M917" s="2">
        <v>14863.62</v>
      </c>
      <c r="N917" s="5">
        <v>0.05</v>
      </c>
      <c r="O917" s="2">
        <v>42361.32</v>
      </c>
      <c r="P917" s="2">
        <v>5312.88</v>
      </c>
      <c r="Q917" t="s">
        <v>2167</v>
      </c>
    </row>
    <row r="918" spans="1:17">
      <c r="A918" t="s">
        <v>933</v>
      </c>
      <c r="B918" s="1">
        <v>45879</v>
      </c>
      <c r="C918" t="s">
        <v>1629</v>
      </c>
      <c r="D918" t="s">
        <v>1927</v>
      </c>
      <c r="E918" t="s">
        <v>2114</v>
      </c>
      <c r="F918" t="s">
        <v>2118</v>
      </c>
      <c r="G918" t="s">
        <v>2128</v>
      </c>
      <c r="H918" t="s">
        <v>2128</v>
      </c>
      <c r="I918" t="s">
        <v>2142</v>
      </c>
      <c r="J918" t="s">
        <v>2147</v>
      </c>
      <c r="K918" t="s">
        <v>2157</v>
      </c>
      <c r="L918" s="3">
        <v>2</v>
      </c>
      <c r="M918" s="2">
        <v>14642.62</v>
      </c>
      <c r="N918" s="5">
        <v>0.05</v>
      </c>
      <c r="O918" s="2">
        <v>27820.98</v>
      </c>
      <c r="P918" s="2">
        <v>4418.22</v>
      </c>
      <c r="Q918" t="s">
        <v>2167</v>
      </c>
    </row>
    <row r="919" spans="1:17">
      <c r="A919" t="s">
        <v>934</v>
      </c>
      <c r="B919" s="1">
        <v>45879</v>
      </c>
      <c r="C919" t="s">
        <v>1634</v>
      </c>
      <c r="D919" t="s">
        <v>1932</v>
      </c>
      <c r="E919" t="s">
        <v>2114</v>
      </c>
      <c r="F919" t="s">
        <v>2116</v>
      </c>
      <c r="G919" t="s">
        <v>2127</v>
      </c>
      <c r="H919" t="s">
        <v>2138</v>
      </c>
      <c r="I919" t="s">
        <v>2144</v>
      </c>
      <c r="J919" t="s">
        <v>2150</v>
      </c>
      <c r="K919" t="s">
        <v>2159</v>
      </c>
      <c r="L919" s="3">
        <v>3</v>
      </c>
      <c r="M919" s="2">
        <v>432.89</v>
      </c>
      <c r="N919" s="5">
        <v>0.15</v>
      </c>
      <c r="O919" s="2">
        <v>1103.8699999999999</v>
      </c>
      <c r="P919" s="2">
        <v>254.68</v>
      </c>
      <c r="Q919" t="s">
        <v>2168</v>
      </c>
    </row>
    <row r="920" spans="1:17">
      <c r="A920" t="s">
        <v>935</v>
      </c>
      <c r="B920" s="1">
        <v>45879</v>
      </c>
      <c r="C920" t="s">
        <v>1700</v>
      </c>
      <c r="D920" t="s">
        <v>1998</v>
      </c>
      <c r="E920" t="s">
        <v>2114</v>
      </c>
      <c r="F920" t="s">
        <v>2119</v>
      </c>
      <c r="G920" t="s">
        <v>2130</v>
      </c>
      <c r="H920" t="s">
        <v>2141</v>
      </c>
      <c r="I920" t="s">
        <v>2143</v>
      </c>
      <c r="J920" t="s">
        <v>2146</v>
      </c>
      <c r="K920" t="s">
        <v>2164</v>
      </c>
      <c r="L920" s="3">
        <v>1</v>
      </c>
      <c r="M920" s="2">
        <v>18700.53</v>
      </c>
      <c r="N920" s="5">
        <v>0.1</v>
      </c>
      <c r="O920" s="2">
        <v>16830.48</v>
      </c>
      <c r="P920" s="2">
        <v>2664.97</v>
      </c>
      <c r="Q920" t="s">
        <v>2167</v>
      </c>
    </row>
    <row r="921" spans="1:17">
      <c r="A921" t="s">
        <v>936</v>
      </c>
      <c r="B921" s="1">
        <v>45880</v>
      </c>
      <c r="C921" t="s">
        <v>1722</v>
      </c>
      <c r="D921" t="s">
        <v>2020</v>
      </c>
      <c r="E921" t="s">
        <v>2114</v>
      </c>
      <c r="F921" t="s">
        <v>2119</v>
      </c>
      <c r="G921" t="s">
        <v>2130</v>
      </c>
      <c r="H921" t="s">
        <v>2141</v>
      </c>
      <c r="I921" t="s">
        <v>2144</v>
      </c>
      <c r="J921" t="s">
        <v>2152</v>
      </c>
      <c r="K921" t="s">
        <v>2162</v>
      </c>
      <c r="L921" s="3">
        <v>2</v>
      </c>
      <c r="M921" s="2">
        <v>360.52</v>
      </c>
      <c r="N921" s="5">
        <v>0.1</v>
      </c>
      <c r="O921" s="2">
        <v>648.94000000000005</v>
      </c>
      <c r="P921" s="2">
        <v>136.27000000000001</v>
      </c>
      <c r="Q921" t="s">
        <v>2170</v>
      </c>
    </row>
    <row r="922" spans="1:17">
      <c r="A922" t="s">
        <v>937</v>
      </c>
      <c r="B922" s="1">
        <v>45880</v>
      </c>
      <c r="C922" t="s">
        <v>1808</v>
      </c>
      <c r="D922" t="s">
        <v>2106</v>
      </c>
      <c r="E922" t="s">
        <v>2115</v>
      </c>
      <c r="F922" t="s">
        <v>2119</v>
      </c>
      <c r="G922" t="s">
        <v>2130</v>
      </c>
      <c r="H922" t="s">
        <v>2141</v>
      </c>
      <c r="I922" t="s">
        <v>2142</v>
      </c>
      <c r="J922" t="s">
        <v>2147</v>
      </c>
      <c r="K922" t="s">
        <v>2157</v>
      </c>
      <c r="L922" s="3">
        <v>2</v>
      </c>
      <c r="M922" s="2">
        <v>14826.52</v>
      </c>
      <c r="N922" s="5">
        <v>0</v>
      </c>
      <c r="O922" s="2">
        <v>29653.040000000001</v>
      </c>
      <c r="P922" s="2">
        <v>5090.8900000000003</v>
      </c>
      <c r="Q922" t="s">
        <v>2168</v>
      </c>
    </row>
    <row r="923" spans="1:17">
      <c r="A923" t="s">
        <v>938</v>
      </c>
      <c r="B923" s="1">
        <v>45880</v>
      </c>
      <c r="C923" t="s">
        <v>1777</v>
      </c>
      <c r="D923" t="s">
        <v>2075</v>
      </c>
      <c r="E923" t="s">
        <v>2114</v>
      </c>
      <c r="F923" t="s">
        <v>2118</v>
      </c>
      <c r="G923" t="s">
        <v>2128</v>
      </c>
      <c r="H923" t="s">
        <v>2128</v>
      </c>
      <c r="I923" t="s">
        <v>2143</v>
      </c>
      <c r="J923" t="s">
        <v>2146</v>
      </c>
      <c r="K923" t="s">
        <v>2164</v>
      </c>
      <c r="L923" s="3">
        <v>3</v>
      </c>
      <c r="M923" s="2">
        <v>18508.919999999998</v>
      </c>
      <c r="N923" s="5">
        <v>0.1</v>
      </c>
      <c r="O923" s="2">
        <v>49974.080000000002</v>
      </c>
      <c r="P923" s="2">
        <v>8655.31</v>
      </c>
      <c r="Q923" t="s">
        <v>2168</v>
      </c>
    </row>
    <row r="924" spans="1:17">
      <c r="A924" t="s">
        <v>939</v>
      </c>
      <c r="B924" s="1">
        <v>45880</v>
      </c>
      <c r="C924" t="s">
        <v>1780</v>
      </c>
      <c r="D924" t="s">
        <v>2078</v>
      </c>
      <c r="E924" t="s">
        <v>2114</v>
      </c>
      <c r="F924" t="s">
        <v>2118</v>
      </c>
      <c r="G924" t="s">
        <v>2122</v>
      </c>
      <c r="H924" t="s">
        <v>2133</v>
      </c>
      <c r="I924" t="s">
        <v>2142</v>
      </c>
      <c r="J924" t="s">
        <v>2147</v>
      </c>
      <c r="K924" t="s">
        <v>2157</v>
      </c>
      <c r="L924" s="3">
        <v>5</v>
      </c>
      <c r="M924" s="2">
        <v>13782.16</v>
      </c>
      <c r="N924" s="5">
        <v>0.2</v>
      </c>
      <c r="O924" s="2">
        <v>55128.639999999999</v>
      </c>
      <c r="P924" s="2">
        <v>12146.71</v>
      </c>
      <c r="Q924" t="s">
        <v>2170</v>
      </c>
    </row>
    <row r="925" spans="1:17">
      <c r="A925" t="s">
        <v>940</v>
      </c>
      <c r="B925" s="1">
        <v>45880</v>
      </c>
      <c r="C925" t="s">
        <v>1573</v>
      </c>
      <c r="D925" t="s">
        <v>1871</v>
      </c>
      <c r="E925" t="s">
        <v>2115</v>
      </c>
      <c r="F925" t="s">
        <v>2117</v>
      </c>
      <c r="G925" t="s">
        <v>2121</v>
      </c>
      <c r="H925" t="s">
        <v>2132</v>
      </c>
      <c r="I925" t="s">
        <v>2143</v>
      </c>
      <c r="J925" t="s">
        <v>2148</v>
      </c>
      <c r="K925" t="s">
        <v>2161</v>
      </c>
      <c r="L925" s="3">
        <v>1</v>
      </c>
      <c r="M925" s="2">
        <v>1724.17</v>
      </c>
      <c r="N925" s="5">
        <v>0.1</v>
      </c>
      <c r="O925" s="2">
        <v>1551.75</v>
      </c>
      <c r="P925" s="2">
        <v>233.43</v>
      </c>
      <c r="Q925" t="s">
        <v>2170</v>
      </c>
    </row>
    <row r="926" spans="1:17">
      <c r="A926" t="s">
        <v>941</v>
      </c>
      <c r="B926" s="1">
        <v>45880</v>
      </c>
      <c r="C926" t="s">
        <v>1630</v>
      </c>
      <c r="D926" t="s">
        <v>1928</v>
      </c>
      <c r="E926" t="s">
        <v>2114</v>
      </c>
      <c r="F926" t="s">
        <v>2118</v>
      </c>
      <c r="G926" t="s">
        <v>2126</v>
      </c>
      <c r="H926" t="s">
        <v>2137</v>
      </c>
      <c r="I926" t="s">
        <v>2144</v>
      </c>
      <c r="J926" t="s">
        <v>2152</v>
      </c>
      <c r="K926" t="s">
        <v>2166</v>
      </c>
      <c r="L926" s="3">
        <v>1</v>
      </c>
      <c r="M926" s="2">
        <v>603.25</v>
      </c>
      <c r="N926" s="5">
        <v>0</v>
      </c>
      <c r="O926" s="2">
        <v>603.25</v>
      </c>
      <c r="P926" s="2">
        <v>182.43</v>
      </c>
      <c r="Q926" t="s">
        <v>2167</v>
      </c>
    </row>
    <row r="927" spans="1:17">
      <c r="A927" t="s">
        <v>942</v>
      </c>
      <c r="B927" s="1">
        <v>45880</v>
      </c>
      <c r="C927" t="s">
        <v>1637</v>
      </c>
      <c r="D927" t="s">
        <v>1935</v>
      </c>
      <c r="E927" t="s">
        <v>2115</v>
      </c>
      <c r="F927" t="s">
        <v>2116</v>
      </c>
      <c r="G927" t="s">
        <v>2127</v>
      </c>
      <c r="H927" t="s">
        <v>2138</v>
      </c>
      <c r="I927" t="s">
        <v>2143</v>
      </c>
      <c r="J927" t="s">
        <v>2148</v>
      </c>
      <c r="K927" t="s">
        <v>2161</v>
      </c>
      <c r="L927" s="3">
        <v>2</v>
      </c>
      <c r="M927" s="2">
        <v>1741.9</v>
      </c>
      <c r="N927" s="5">
        <v>0</v>
      </c>
      <c r="O927" s="2">
        <v>3483.8</v>
      </c>
      <c r="P927" s="2">
        <v>704.51</v>
      </c>
      <c r="Q927" t="s">
        <v>2170</v>
      </c>
    </row>
    <row r="928" spans="1:17">
      <c r="A928" t="s">
        <v>943</v>
      </c>
      <c r="B928" s="1">
        <v>45881</v>
      </c>
      <c r="C928" t="s">
        <v>1683</v>
      </c>
      <c r="D928" t="s">
        <v>1981</v>
      </c>
      <c r="E928" t="s">
        <v>2114</v>
      </c>
      <c r="F928" t="s">
        <v>2117</v>
      </c>
      <c r="G928" t="s">
        <v>2123</v>
      </c>
      <c r="H928" t="s">
        <v>2134</v>
      </c>
      <c r="I928" t="s">
        <v>2143</v>
      </c>
      <c r="J928" t="s">
        <v>2149</v>
      </c>
      <c r="K928" t="s">
        <v>2158</v>
      </c>
      <c r="L928" s="3">
        <v>1</v>
      </c>
      <c r="M928" s="2">
        <v>48025.59</v>
      </c>
      <c r="N928" s="5">
        <v>0.1</v>
      </c>
      <c r="O928" s="2">
        <v>43223.03</v>
      </c>
      <c r="P928" s="2">
        <v>6401.9</v>
      </c>
      <c r="Q928" t="s">
        <v>2170</v>
      </c>
    </row>
    <row r="929" spans="1:17">
      <c r="A929" t="s">
        <v>944</v>
      </c>
      <c r="B929" s="1">
        <v>45881</v>
      </c>
      <c r="C929" t="s">
        <v>1769</v>
      </c>
      <c r="D929" t="s">
        <v>2067</v>
      </c>
      <c r="E929" t="s">
        <v>2114</v>
      </c>
      <c r="F929" t="s">
        <v>2116</v>
      </c>
      <c r="G929" t="s">
        <v>2127</v>
      </c>
      <c r="H929" t="s">
        <v>2140</v>
      </c>
      <c r="I929" t="s">
        <v>2143</v>
      </c>
      <c r="J929" t="s">
        <v>2149</v>
      </c>
      <c r="K929" t="s">
        <v>2158</v>
      </c>
      <c r="L929" s="3">
        <v>2</v>
      </c>
      <c r="M929" s="2">
        <v>46457.32</v>
      </c>
      <c r="N929" s="5">
        <v>0.2</v>
      </c>
      <c r="O929" s="2">
        <v>74331.710000000006</v>
      </c>
      <c r="P929" s="2">
        <v>9951.92</v>
      </c>
      <c r="Q929" t="s">
        <v>2168</v>
      </c>
    </row>
    <row r="930" spans="1:17">
      <c r="A930" t="s">
        <v>945</v>
      </c>
      <c r="B930" s="1">
        <v>45882</v>
      </c>
      <c r="C930" t="s">
        <v>1752</v>
      </c>
      <c r="D930" t="s">
        <v>2050</v>
      </c>
      <c r="E930" t="s">
        <v>2113</v>
      </c>
      <c r="F930" t="s">
        <v>2119</v>
      </c>
      <c r="G930" t="s">
        <v>2124</v>
      </c>
      <c r="H930" t="s">
        <v>2135</v>
      </c>
      <c r="I930" t="s">
        <v>2144</v>
      </c>
      <c r="J930" t="s">
        <v>2152</v>
      </c>
      <c r="K930" t="s">
        <v>2162</v>
      </c>
      <c r="L930" s="3">
        <v>2</v>
      </c>
      <c r="M930" s="2">
        <v>339.52</v>
      </c>
      <c r="N930" s="5">
        <v>0.2</v>
      </c>
      <c r="O930" s="2">
        <v>543.23</v>
      </c>
      <c r="P930" s="2">
        <v>59.3</v>
      </c>
      <c r="Q930" t="s">
        <v>2170</v>
      </c>
    </row>
    <row r="931" spans="1:17">
      <c r="A931" t="s">
        <v>946</v>
      </c>
      <c r="B931" s="1">
        <v>45882</v>
      </c>
      <c r="C931" t="s">
        <v>1764</v>
      </c>
      <c r="D931" t="s">
        <v>2062</v>
      </c>
      <c r="E931" t="s">
        <v>2114</v>
      </c>
      <c r="F931" t="s">
        <v>2117</v>
      </c>
      <c r="G931" t="s">
        <v>2123</v>
      </c>
      <c r="H931" t="s">
        <v>2134</v>
      </c>
      <c r="I931" t="s">
        <v>2143</v>
      </c>
      <c r="J931" t="s">
        <v>2146</v>
      </c>
      <c r="K931" t="s">
        <v>2154</v>
      </c>
      <c r="L931" s="3">
        <v>5</v>
      </c>
      <c r="M931" s="2">
        <v>41152.230000000003</v>
      </c>
      <c r="N931" s="5">
        <v>0.1</v>
      </c>
      <c r="O931" s="2">
        <v>185185.04</v>
      </c>
      <c r="P931" s="2">
        <v>12340.94</v>
      </c>
      <c r="Q931" t="s">
        <v>2167</v>
      </c>
    </row>
    <row r="932" spans="1:17">
      <c r="A932" t="s">
        <v>947</v>
      </c>
      <c r="B932" s="1">
        <v>45882</v>
      </c>
      <c r="C932" t="s">
        <v>1809</v>
      </c>
      <c r="D932" t="s">
        <v>2107</v>
      </c>
      <c r="E932" t="s">
        <v>2115</v>
      </c>
      <c r="F932" t="s">
        <v>2118</v>
      </c>
      <c r="G932" t="s">
        <v>2128</v>
      </c>
      <c r="H932" t="s">
        <v>2128</v>
      </c>
      <c r="I932" t="s">
        <v>2144</v>
      </c>
      <c r="J932" t="s">
        <v>2152</v>
      </c>
      <c r="K932" t="s">
        <v>2166</v>
      </c>
      <c r="L932" s="3">
        <v>2</v>
      </c>
      <c r="M932" s="2">
        <v>570.97</v>
      </c>
      <c r="N932" s="5">
        <v>0.15</v>
      </c>
      <c r="O932" s="2">
        <v>970.65</v>
      </c>
      <c r="P932" s="2">
        <v>288.45</v>
      </c>
      <c r="Q932" t="s">
        <v>2168</v>
      </c>
    </row>
    <row r="933" spans="1:17">
      <c r="A933" t="s">
        <v>948</v>
      </c>
      <c r="B933" s="1">
        <v>45883</v>
      </c>
      <c r="C933" t="s">
        <v>1802</v>
      </c>
      <c r="D933" t="s">
        <v>2100</v>
      </c>
      <c r="E933" t="s">
        <v>2113</v>
      </c>
      <c r="F933" t="s">
        <v>2116</v>
      </c>
      <c r="G933" t="s">
        <v>2120</v>
      </c>
      <c r="H933" t="s">
        <v>2131</v>
      </c>
      <c r="I933" t="s">
        <v>2143</v>
      </c>
      <c r="J933" t="s">
        <v>2149</v>
      </c>
      <c r="K933" t="s">
        <v>2158</v>
      </c>
      <c r="L933" s="3">
        <v>4</v>
      </c>
      <c r="M933" s="2">
        <v>49325.04</v>
      </c>
      <c r="N933" s="5">
        <v>0</v>
      </c>
      <c r="O933" s="2">
        <v>197300.16</v>
      </c>
      <c r="P933" s="2">
        <v>32735.83</v>
      </c>
      <c r="Q933" t="s">
        <v>2168</v>
      </c>
    </row>
    <row r="934" spans="1:17">
      <c r="A934" t="s">
        <v>949</v>
      </c>
      <c r="B934" s="1">
        <v>45883</v>
      </c>
      <c r="C934" t="s">
        <v>1625</v>
      </c>
      <c r="D934" t="s">
        <v>1923</v>
      </c>
      <c r="E934" t="s">
        <v>2114</v>
      </c>
      <c r="F934" t="s">
        <v>2119</v>
      </c>
      <c r="G934" t="s">
        <v>2130</v>
      </c>
      <c r="H934" t="s">
        <v>2141</v>
      </c>
      <c r="I934" t="s">
        <v>2143</v>
      </c>
      <c r="J934" t="s">
        <v>2146</v>
      </c>
      <c r="K934" t="s">
        <v>2154</v>
      </c>
      <c r="L934" s="3">
        <v>4</v>
      </c>
      <c r="M934" s="2">
        <v>43338.9</v>
      </c>
      <c r="N934" s="5">
        <v>0.05</v>
      </c>
      <c r="O934" s="2">
        <v>164687.82</v>
      </c>
      <c r="P934" s="2">
        <v>18171.38</v>
      </c>
      <c r="Q934" t="s">
        <v>2167</v>
      </c>
    </row>
    <row r="935" spans="1:17">
      <c r="A935" t="s">
        <v>950</v>
      </c>
      <c r="B935" s="1">
        <v>45884</v>
      </c>
      <c r="C935" t="s">
        <v>1602</v>
      </c>
      <c r="D935" t="s">
        <v>1900</v>
      </c>
      <c r="E935" t="s">
        <v>2115</v>
      </c>
      <c r="F935" t="s">
        <v>2117</v>
      </c>
      <c r="G935" t="s">
        <v>2125</v>
      </c>
      <c r="H935" t="s">
        <v>2136</v>
      </c>
      <c r="I935" t="s">
        <v>2143</v>
      </c>
      <c r="J935" t="s">
        <v>2149</v>
      </c>
      <c r="K935" t="s">
        <v>2158</v>
      </c>
      <c r="L935" s="3">
        <v>1</v>
      </c>
      <c r="M935" s="2">
        <v>49146.37</v>
      </c>
      <c r="N935" s="5">
        <v>0</v>
      </c>
      <c r="O935" s="2">
        <v>49146.37</v>
      </c>
      <c r="P935" s="2">
        <v>5387.13</v>
      </c>
      <c r="Q935" t="s">
        <v>2169</v>
      </c>
    </row>
    <row r="936" spans="1:17">
      <c r="A936" t="s">
        <v>951</v>
      </c>
      <c r="B936" s="1">
        <v>45884</v>
      </c>
      <c r="C936" t="s">
        <v>1611</v>
      </c>
      <c r="D936" t="s">
        <v>1909</v>
      </c>
      <c r="E936" t="s">
        <v>2114</v>
      </c>
      <c r="F936" t="s">
        <v>2116</v>
      </c>
      <c r="G936" t="s">
        <v>2127</v>
      </c>
      <c r="H936" t="s">
        <v>2138</v>
      </c>
      <c r="I936" t="s">
        <v>2142</v>
      </c>
      <c r="J936" t="s">
        <v>2145</v>
      </c>
      <c r="K936" t="s">
        <v>2165</v>
      </c>
      <c r="L936" s="3">
        <v>1</v>
      </c>
      <c r="M936" s="2">
        <v>6673.06</v>
      </c>
      <c r="N936" s="5">
        <v>0.1</v>
      </c>
      <c r="O936" s="2">
        <v>6005.75</v>
      </c>
      <c r="P936" s="2">
        <v>830.98</v>
      </c>
      <c r="Q936" t="s">
        <v>2170</v>
      </c>
    </row>
    <row r="937" spans="1:17">
      <c r="A937" t="s">
        <v>952</v>
      </c>
      <c r="B937" s="1">
        <v>45884</v>
      </c>
      <c r="C937" t="s">
        <v>1810</v>
      </c>
      <c r="D937" t="s">
        <v>2108</v>
      </c>
      <c r="E937" t="s">
        <v>2114</v>
      </c>
      <c r="F937" t="s">
        <v>2117</v>
      </c>
      <c r="G937" t="s">
        <v>2121</v>
      </c>
      <c r="H937" t="s">
        <v>2132</v>
      </c>
      <c r="I937" t="s">
        <v>2143</v>
      </c>
      <c r="J937" t="s">
        <v>2146</v>
      </c>
      <c r="K937" t="s">
        <v>2154</v>
      </c>
      <c r="L937" s="3">
        <v>3</v>
      </c>
      <c r="M937" s="2">
        <v>40708.839999999997</v>
      </c>
      <c r="N937" s="5">
        <v>0.15</v>
      </c>
      <c r="O937" s="2">
        <v>103807.54</v>
      </c>
      <c r="P937" s="2">
        <v>4671.26</v>
      </c>
      <c r="Q937" t="s">
        <v>2167</v>
      </c>
    </row>
    <row r="938" spans="1:17">
      <c r="A938" t="s">
        <v>953</v>
      </c>
      <c r="B938" s="1">
        <v>45884</v>
      </c>
      <c r="C938" t="s">
        <v>1619</v>
      </c>
      <c r="D938" t="s">
        <v>1917</v>
      </c>
      <c r="E938" t="s">
        <v>2114</v>
      </c>
      <c r="F938" t="s">
        <v>2118</v>
      </c>
      <c r="G938" t="s">
        <v>2126</v>
      </c>
      <c r="H938" t="s">
        <v>2137</v>
      </c>
      <c r="I938" t="s">
        <v>2142</v>
      </c>
      <c r="J938" t="s">
        <v>2145</v>
      </c>
      <c r="K938" t="s">
        <v>2153</v>
      </c>
      <c r="L938" s="3">
        <v>2</v>
      </c>
      <c r="M938" s="2">
        <v>12555.44</v>
      </c>
      <c r="N938" s="5">
        <v>0.1</v>
      </c>
      <c r="O938" s="2">
        <v>22599.79</v>
      </c>
      <c r="P938" s="2">
        <v>4351.2700000000004</v>
      </c>
      <c r="Q938" t="s">
        <v>2167</v>
      </c>
    </row>
    <row r="939" spans="1:17">
      <c r="A939" t="s">
        <v>954</v>
      </c>
      <c r="B939" s="1">
        <v>45885</v>
      </c>
      <c r="C939" t="s">
        <v>1676</v>
      </c>
      <c r="D939" t="s">
        <v>1974</v>
      </c>
      <c r="E939" t="s">
        <v>2114</v>
      </c>
      <c r="F939" t="s">
        <v>2118</v>
      </c>
      <c r="G939" t="s">
        <v>2126</v>
      </c>
      <c r="H939" t="s">
        <v>2137</v>
      </c>
      <c r="I939" t="s">
        <v>2142</v>
      </c>
      <c r="J939" t="s">
        <v>2145</v>
      </c>
      <c r="K939" t="s">
        <v>2165</v>
      </c>
      <c r="L939" s="3">
        <v>3</v>
      </c>
      <c r="M939" s="2">
        <v>6357.3</v>
      </c>
      <c r="N939" s="5">
        <v>0.1</v>
      </c>
      <c r="O939" s="2">
        <v>17164.71</v>
      </c>
      <c r="P939" s="2">
        <v>3340.41</v>
      </c>
      <c r="Q939" t="s">
        <v>2169</v>
      </c>
    </row>
    <row r="940" spans="1:17">
      <c r="A940" t="s">
        <v>955</v>
      </c>
      <c r="B940" s="1">
        <v>45885</v>
      </c>
      <c r="C940" t="s">
        <v>1686</v>
      </c>
      <c r="D940" t="s">
        <v>1984</v>
      </c>
      <c r="E940" t="s">
        <v>2114</v>
      </c>
      <c r="F940" t="s">
        <v>2117</v>
      </c>
      <c r="G940" t="s">
        <v>2121</v>
      </c>
      <c r="H940" t="s">
        <v>2132</v>
      </c>
      <c r="I940" t="s">
        <v>2144</v>
      </c>
      <c r="J940" t="s">
        <v>2152</v>
      </c>
      <c r="K940" t="s">
        <v>2162</v>
      </c>
      <c r="L940" s="3">
        <v>1</v>
      </c>
      <c r="M940" s="2">
        <v>362.56</v>
      </c>
      <c r="N940" s="5">
        <v>0.15</v>
      </c>
      <c r="O940" s="2">
        <v>308.18</v>
      </c>
      <c r="P940" s="2">
        <v>58.36</v>
      </c>
      <c r="Q940" t="s">
        <v>2169</v>
      </c>
    </row>
    <row r="941" spans="1:17">
      <c r="A941" t="s">
        <v>956</v>
      </c>
      <c r="B941" s="1">
        <v>45885</v>
      </c>
      <c r="C941" t="s">
        <v>1727</v>
      </c>
      <c r="D941" t="s">
        <v>2025</v>
      </c>
      <c r="E941" t="s">
        <v>2115</v>
      </c>
      <c r="F941" t="s">
        <v>2117</v>
      </c>
      <c r="G941" t="s">
        <v>2121</v>
      </c>
      <c r="H941" t="s">
        <v>2132</v>
      </c>
      <c r="I941" t="s">
        <v>2142</v>
      </c>
      <c r="J941" t="s">
        <v>2145</v>
      </c>
      <c r="K941" t="s">
        <v>2165</v>
      </c>
      <c r="L941" s="3">
        <v>2</v>
      </c>
      <c r="M941" s="2">
        <v>6493.58</v>
      </c>
      <c r="N941" s="5">
        <v>0.1</v>
      </c>
      <c r="O941" s="2">
        <v>11688.44</v>
      </c>
      <c r="P941" s="2">
        <v>1320.94</v>
      </c>
      <c r="Q941" t="s">
        <v>2168</v>
      </c>
    </row>
    <row r="942" spans="1:17">
      <c r="A942" t="s">
        <v>957</v>
      </c>
      <c r="B942" s="1">
        <v>45885</v>
      </c>
      <c r="C942" t="s">
        <v>1696</v>
      </c>
      <c r="D942" t="s">
        <v>1994</v>
      </c>
      <c r="E942" t="s">
        <v>2114</v>
      </c>
      <c r="F942" t="s">
        <v>2116</v>
      </c>
      <c r="G942" t="s">
        <v>2120</v>
      </c>
      <c r="H942" t="s">
        <v>2131</v>
      </c>
      <c r="I942" t="s">
        <v>2142</v>
      </c>
      <c r="J942" t="s">
        <v>2145</v>
      </c>
      <c r="K942" t="s">
        <v>2165</v>
      </c>
      <c r="L942" s="3">
        <v>3</v>
      </c>
      <c r="M942" s="2">
        <v>6293.05</v>
      </c>
      <c r="N942" s="5">
        <v>0.15</v>
      </c>
      <c r="O942" s="2">
        <v>16047.28</v>
      </c>
      <c r="P942" s="2">
        <v>2094.62</v>
      </c>
      <c r="Q942" t="s">
        <v>2168</v>
      </c>
    </row>
    <row r="943" spans="1:17">
      <c r="A943" t="s">
        <v>958</v>
      </c>
      <c r="B943" s="1">
        <v>45885</v>
      </c>
      <c r="C943" t="s">
        <v>1669</v>
      </c>
      <c r="D943" t="s">
        <v>1967</v>
      </c>
      <c r="E943" t="s">
        <v>2114</v>
      </c>
      <c r="F943" t="s">
        <v>2119</v>
      </c>
      <c r="G943" t="s">
        <v>2124</v>
      </c>
      <c r="H943" t="s">
        <v>2135</v>
      </c>
      <c r="I943" t="s">
        <v>2142</v>
      </c>
      <c r="J943" t="s">
        <v>2147</v>
      </c>
      <c r="K943" t="s">
        <v>2157</v>
      </c>
      <c r="L943" s="3">
        <v>1</v>
      </c>
      <c r="M943" s="2">
        <v>14707.89</v>
      </c>
      <c r="N943" s="5">
        <v>0</v>
      </c>
      <c r="O943" s="2">
        <v>14707.89</v>
      </c>
      <c r="P943" s="2">
        <v>2382.6999999999998</v>
      </c>
      <c r="Q943" t="s">
        <v>2167</v>
      </c>
    </row>
    <row r="944" spans="1:17">
      <c r="A944" t="s">
        <v>959</v>
      </c>
      <c r="B944" s="1">
        <v>45886</v>
      </c>
      <c r="C944" t="s">
        <v>1531</v>
      </c>
      <c r="D944" t="s">
        <v>1829</v>
      </c>
      <c r="E944" t="s">
        <v>2114</v>
      </c>
      <c r="F944" t="s">
        <v>2117</v>
      </c>
      <c r="G944" t="s">
        <v>2123</v>
      </c>
      <c r="H944" t="s">
        <v>2134</v>
      </c>
      <c r="I944" t="s">
        <v>2143</v>
      </c>
      <c r="J944" t="s">
        <v>2148</v>
      </c>
      <c r="K944" t="s">
        <v>2156</v>
      </c>
      <c r="L944" s="3">
        <v>2</v>
      </c>
      <c r="M944" s="2">
        <v>1238.1500000000001</v>
      </c>
      <c r="N944" s="5">
        <v>0.1</v>
      </c>
      <c r="O944" s="2">
        <v>2228.67</v>
      </c>
      <c r="P944" s="2">
        <v>334.94</v>
      </c>
      <c r="Q944" t="s">
        <v>2167</v>
      </c>
    </row>
    <row r="945" spans="1:17">
      <c r="A945" t="s">
        <v>960</v>
      </c>
      <c r="B945" s="1">
        <v>45886</v>
      </c>
      <c r="C945" t="s">
        <v>1679</v>
      </c>
      <c r="D945" t="s">
        <v>1977</v>
      </c>
      <c r="E945" t="s">
        <v>2114</v>
      </c>
      <c r="F945" t="s">
        <v>2119</v>
      </c>
      <c r="G945" t="s">
        <v>2129</v>
      </c>
      <c r="H945" t="s">
        <v>2139</v>
      </c>
      <c r="I945" t="s">
        <v>2142</v>
      </c>
      <c r="J945" t="s">
        <v>2147</v>
      </c>
      <c r="K945" t="s">
        <v>2157</v>
      </c>
      <c r="L945" s="3">
        <v>4</v>
      </c>
      <c r="M945" s="2">
        <v>14999.11</v>
      </c>
      <c r="N945" s="5">
        <v>0.05</v>
      </c>
      <c r="O945" s="2">
        <v>56996.62</v>
      </c>
      <c r="P945" s="2">
        <v>10602.35</v>
      </c>
      <c r="Q945" t="s">
        <v>2169</v>
      </c>
    </row>
    <row r="946" spans="1:17">
      <c r="A946" t="s">
        <v>961</v>
      </c>
      <c r="B946" s="1">
        <v>45886</v>
      </c>
      <c r="C946" t="s">
        <v>1659</v>
      </c>
      <c r="D946" t="s">
        <v>1957</v>
      </c>
      <c r="E946" t="s">
        <v>2114</v>
      </c>
      <c r="F946" t="s">
        <v>2118</v>
      </c>
      <c r="G946" t="s">
        <v>2122</v>
      </c>
      <c r="H946" t="s">
        <v>2133</v>
      </c>
      <c r="I946" t="s">
        <v>2142</v>
      </c>
      <c r="J946" t="s">
        <v>2145</v>
      </c>
      <c r="K946" t="s">
        <v>2165</v>
      </c>
      <c r="L946" s="3">
        <v>2</v>
      </c>
      <c r="M946" s="2">
        <v>6736.23</v>
      </c>
      <c r="N946" s="5">
        <v>0.05</v>
      </c>
      <c r="O946" s="2">
        <v>12798.84</v>
      </c>
      <c r="P946" s="2">
        <v>3190.16</v>
      </c>
      <c r="Q946" t="s">
        <v>2168</v>
      </c>
    </row>
    <row r="947" spans="1:17">
      <c r="A947" t="s">
        <v>962</v>
      </c>
      <c r="B947" s="1">
        <v>45886</v>
      </c>
      <c r="C947" t="s">
        <v>1803</v>
      </c>
      <c r="D947" t="s">
        <v>2101</v>
      </c>
      <c r="E947" t="s">
        <v>2114</v>
      </c>
      <c r="F947" t="s">
        <v>2116</v>
      </c>
      <c r="G947" t="s">
        <v>2127</v>
      </c>
      <c r="H947" t="s">
        <v>2140</v>
      </c>
      <c r="I947" t="s">
        <v>2144</v>
      </c>
      <c r="J947" t="s">
        <v>2152</v>
      </c>
      <c r="K947" t="s">
        <v>2162</v>
      </c>
      <c r="L947" s="3">
        <v>1</v>
      </c>
      <c r="M947" s="2">
        <v>353.76</v>
      </c>
      <c r="N947" s="5">
        <v>0.15</v>
      </c>
      <c r="O947" s="2">
        <v>300.7</v>
      </c>
      <c r="P947" s="2">
        <v>49.67</v>
      </c>
      <c r="Q947" t="s">
        <v>2167</v>
      </c>
    </row>
    <row r="948" spans="1:17">
      <c r="A948" t="s">
        <v>963</v>
      </c>
      <c r="B948" s="1">
        <v>45886</v>
      </c>
      <c r="C948" t="s">
        <v>1600</v>
      </c>
      <c r="D948" t="s">
        <v>1898</v>
      </c>
      <c r="E948" t="s">
        <v>2113</v>
      </c>
      <c r="F948" t="s">
        <v>2118</v>
      </c>
      <c r="G948" t="s">
        <v>2126</v>
      </c>
      <c r="H948" t="s">
        <v>2137</v>
      </c>
      <c r="I948" t="s">
        <v>2142</v>
      </c>
      <c r="J948" t="s">
        <v>2151</v>
      </c>
      <c r="K948" t="s">
        <v>2160</v>
      </c>
      <c r="L948" s="3">
        <v>2</v>
      </c>
      <c r="M948" s="2">
        <v>8084.37</v>
      </c>
      <c r="N948" s="5">
        <v>0.05</v>
      </c>
      <c r="O948" s="2">
        <v>15360.3</v>
      </c>
      <c r="P948" s="2">
        <v>3927.75</v>
      </c>
      <c r="Q948" t="s">
        <v>2170</v>
      </c>
    </row>
    <row r="949" spans="1:17">
      <c r="A949" t="s">
        <v>964</v>
      </c>
      <c r="B949" s="1">
        <v>45886</v>
      </c>
      <c r="C949" t="s">
        <v>1747</v>
      </c>
      <c r="D949" t="s">
        <v>2045</v>
      </c>
      <c r="E949" t="s">
        <v>2114</v>
      </c>
      <c r="F949" t="s">
        <v>2116</v>
      </c>
      <c r="G949" t="s">
        <v>2127</v>
      </c>
      <c r="H949" t="s">
        <v>2138</v>
      </c>
      <c r="I949" t="s">
        <v>2143</v>
      </c>
      <c r="J949" t="s">
        <v>2149</v>
      </c>
      <c r="K949" t="s">
        <v>2163</v>
      </c>
      <c r="L949" s="3">
        <v>4</v>
      </c>
      <c r="M949" s="2">
        <v>62401.37</v>
      </c>
      <c r="N949" s="5">
        <v>0.05</v>
      </c>
      <c r="O949" s="2">
        <v>237125.21</v>
      </c>
      <c r="P949" s="2">
        <v>40126.949999999997</v>
      </c>
      <c r="Q949" t="s">
        <v>2169</v>
      </c>
    </row>
    <row r="950" spans="1:17">
      <c r="A950" t="s">
        <v>965</v>
      </c>
      <c r="B950" s="1">
        <v>45887</v>
      </c>
      <c r="C950" t="s">
        <v>1611</v>
      </c>
      <c r="D950" t="s">
        <v>1909</v>
      </c>
      <c r="E950" t="s">
        <v>2114</v>
      </c>
      <c r="F950" t="s">
        <v>2117</v>
      </c>
      <c r="G950" t="s">
        <v>2123</v>
      </c>
      <c r="H950" t="s">
        <v>2134</v>
      </c>
      <c r="I950" t="s">
        <v>2144</v>
      </c>
      <c r="J950" t="s">
        <v>2152</v>
      </c>
      <c r="K950" t="s">
        <v>2162</v>
      </c>
      <c r="L950" s="3">
        <v>1</v>
      </c>
      <c r="M950" s="2">
        <v>344.41</v>
      </c>
      <c r="N950" s="5">
        <v>0.1</v>
      </c>
      <c r="O950" s="2">
        <v>309.97000000000003</v>
      </c>
      <c r="P950" s="2">
        <v>93.09</v>
      </c>
      <c r="Q950" t="s">
        <v>2170</v>
      </c>
    </row>
    <row r="951" spans="1:17">
      <c r="A951" t="s">
        <v>966</v>
      </c>
      <c r="B951" s="1">
        <v>45887</v>
      </c>
      <c r="C951" t="s">
        <v>1758</v>
      </c>
      <c r="D951" t="s">
        <v>2056</v>
      </c>
      <c r="E951" t="s">
        <v>2114</v>
      </c>
      <c r="F951" t="s">
        <v>2118</v>
      </c>
      <c r="G951" t="s">
        <v>2122</v>
      </c>
      <c r="H951" t="s">
        <v>2133</v>
      </c>
      <c r="I951" t="s">
        <v>2144</v>
      </c>
      <c r="J951" t="s">
        <v>2150</v>
      </c>
      <c r="K951" t="s">
        <v>2159</v>
      </c>
      <c r="L951" s="3">
        <v>5</v>
      </c>
      <c r="M951" s="2">
        <v>457.2</v>
      </c>
      <c r="N951" s="5">
        <v>0.15</v>
      </c>
      <c r="O951" s="2">
        <v>1943.1</v>
      </c>
      <c r="P951" s="2">
        <v>451.29</v>
      </c>
      <c r="Q951" t="s">
        <v>2170</v>
      </c>
    </row>
    <row r="952" spans="1:17">
      <c r="A952" t="s">
        <v>967</v>
      </c>
      <c r="B952" s="1">
        <v>45887</v>
      </c>
      <c r="C952" t="s">
        <v>1696</v>
      </c>
      <c r="D952" t="s">
        <v>1994</v>
      </c>
      <c r="E952" t="s">
        <v>2115</v>
      </c>
      <c r="F952" t="s">
        <v>2117</v>
      </c>
      <c r="G952" t="s">
        <v>2123</v>
      </c>
      <c r="H952" t="s">
        <v>2134</v>
      </c>
      <c r="I952" t="s">
        <v>2142</v>
      </c>
      <c r="J952" t="s">
        <v>2145</v>
      </c>
      <c r="K952" t="s">
        <v>2165</v>
      </c>
      <c r="L952" s="3">
        <v>4</v>
      </c>
      <c r="M952" s="2">
        <v>6409.09</v>
      </c>
      <c r="N952" s="5">
        <v>0.1</v>
      </c>
      <c r="O952" s="2">
        <v>23072.720000000001</v>
      </c>
      <c r="P952" s="2">
        <v>3856.8</v>
      </c>
      <c r="Q952" t="s">
        <v>2168</v>
      </c>
    </row>
    <row r="953" spans="1:17">
      <c r="A953" t="s">
        <v>968</v>
      </c>
      <c r="B953" s="1">
        <v>45888</v>
      </c>
      <c r="C953" t="s">
        <v>1540</v>
      </c>
      <c r="D953" t="s">
        <v>1838</v>
      </c>
      <c r="E953" t="s">
        <v>2114</v>
      </c>
      <c r="F953" t="s">
        <v>2116</v>
      </c>
      <c r="G953" t="s">
        <v>2120</v>
      </c>
      <c r="H953" t="s">
        <v>2131</v>
      </c>
      <c r="I953" t="s">
        <v>2144</v>
      </c>
      <c r="J953" t="s">
        <v>2150</v>
      </c>
      <c r="K953" t="s">
        <v>2159</v>
      </c>
      <c r="L953" s="3">
        <v>1</v>
      </c>
      <c r="M953" s="2">
        <v>448.89</v>
      </c>
      <c r="N953" s="5">
        <v>0.15</v>
      </c>
      <c r="O953" s="2">
        <v>381.56</v>
      </c>
      <c r="P953" s="2">
        <v>84.54</v>
      </c>
      <c r="Q953" t="s">
        <v>2167</v>
      </c>
    </row>
    <row r="954" spans="1:17">
      <c r="A954" t="s">
        <v>969</v>
      </c>
      <c r="B954" s="1">
        <v>45888</v>
      </c>
      <c r="C954" t="s">
        <v>1794</v>
      </c>
      <c r="D954" t="s">
        <v>2092</v>
      </c>
      <c r="E954" t="s">
        <v>2114</v>
      </c>
      <c r="F954" t="s">
        <v>2116</v>
      </c>
      <c r="G954" t="s">
        <v>2127</v>
      </c>
      <c r="H954" t="s">
        <v>2138</v>
      </c>
      <c r="I954" t="s">
        <v>2142</v>
      </c>
      <c r="J954" t="s">
        <v>2145</v>
      </c>
      <c r="K954" t="s">
        <v>2165</v>
      </c>
      <c r="L954" s="3">
        <v>3</v>
      </c>
      <c r="M954" s="2">
        <v>6369.71</v>
      </c>
      <c r="N954" s="5">
        <v>0.1</v>
      </c>
      <c r="O954" s="2">
        <v>17198.22</v>
      </c>
      <c r="P954" s="2">
        <v>3110.3</v>
      </c>
      <c r="Q954" t="s">
        <v>2170</v>
      </c>
    </row>
    <row r="955" spans="1:17">
      <c r="A955" t="s">
        <v>970</v>
      </c>
      <c r="B955" s="1">
        <v>45888</v>
      </c>
      <c r="C955" t="s">
        <v>1742</v>
      </c>
      <c r="D955" t="s">
        <v>2040</v>
      </c>
      <c r="E955" t="s">
        <v>2115</v>
      </c>
      <c r="F955" t="s">
        <v>2117</v>
      </c>
      <c r="G955" t="s">
        <v>2121</v>
      </c>
      <c r="H955" t="s">
        <v>2132</v>
      </c>
      <c r="I955" t="s">
        <v>2144</v>
      </c>
      <c r="J955" t="s">
        <v>2152</v>
      </c>
      <c r="K955" t="s">
        <v>2162</v>
      </c>
      <c r="L955" s="3">
        <v>2</v>
      </c>
      <c r="M955" s="2">
        <v>344.35</v>
      </c>
      <c r="N955" s="5">
        <v>0</v>
      </c>
      <c r="O955" s="2">
        <v>688.7</v>
      </c>
      <c r="P955" s="2">
        <v>158.21</v>
      </c>
      <c r="Q955" t="s">
        <v>2169</v>
      </c>
    </row>
    <row r="956" spans="1:17">
      <c r="A956" t="s">
        <v>971</v>
      </c>
      <c r="B956" s="1">
        <v>45888</v>
      </c>
      <c r="C956" t="s">
        <v>1598</v>
      </c>
      <c r="D956" t="s">
        <v>1896</v>
      </c>
      <c r="E956" t="s">
        <v>2114</v>
      </c>
      <c r="F956" t="s">
        <v>2119</v>
      </c>
      <c r="G956" t="s">
        <v>2130</v>
      </c>
      <c r="H956" t="s">
        <v>2141</v>
      </c>
      <c r="I956" t="s">
        <v>2144</v>
      </c>
      <c r="J956" t="s">
        <v>2150</v>
      </c>
      <c r="K956" t="s">
        <v>2159</v>
      </c>
      <c r="L956" s="3">
        <v>3</v>
      </c>
      <c r="M956" s="2">
        <v>454.95</v>
      </c>
      <c r="N956" s="5">
        <v>0.05</v>
      </c>
      <c r="O956" s="2">
        <v>1296.6099999999999</v>
      </c>
      <c r="P956" s="2">
        <v>282.26</v>
      </c>
      <c r="Q956" t="s">
        <v>2168</v>
      </c>
    </row>
    <row r="957" spans="1:17">
      <c r="A957" t="s">
        <v>972</v>
      </c>
      <c r="B957" s="1">
        <v>45888</v>
      </c>
      <c r="C957" t="s">
        <v>1618</v>
      </c>
      <c r="D957" t="s">
        <v>1916</v>
      </c>
      <c r="E957" t="s">
        <v>2114</v>
      </c>
      <c r="F957" t="s">
        <v>2117</v>
      </c>
      <c r="G957" t="s">
        <v>2125</v>
      </c>
      <c r="H957" t="s">
        <v>2136</v>
      </c>
      <c r="I957" t="s">
        <v>2143</v>
      </c>
      <c r="J957" t="s">
        <v>2146</v>
      </c>
      <c r="K957" t="s">
        <v>2154</v>
      </c>
      <c r="L957" s="3">
        <v>2</v>
      </c>
      <c r="M957" s="2">
        <v>42720.29</v>
      </c>
      <c r="N957" s="5">
        <v>0.15</v>
      </c>
      <c r="O957" s="2">
        <v>72624.490000000005</v>
      </c>
      <c r="P957" s="2">
        <v>12604.22</v>
      </c>
      <c r="Q957" t="s">
        <v>2168</v>
      </c>
    </row>
    <row r="958" spans="1:17">
      <c r="A958" t="s">
        <v>973</v>
      </c>
      <c r="B958" s="1">
        <v>45889</v>
      </c>
      <c r="C958" t="s">
        <v>1536</v>
      </c>
      <c r="D958" t="s">
        <v>1834</v>
      </c>
      <c r="E958" t="s">
        <v>2114</v>
      </c>
      <c r="F958" t="s">
        <v>2119</v>
      </c>
      <c r="G958" t="s">
        <v>2124</v>
      </c>
      <c r="H958" t="s">
        <v>2135</v>
      </c>
      <c r="I958" t="s">
        <v>2143</v>
      </c>
      <c r="J958" t="s">
        <v>2148</v>
      </c>
      <c r="K958" t="s">
        <v>2161</v>
      </c>
      <c r="L958" s="3">
        <v>3</v>
      </c>
      <c r="M958" s="2">
        <v>1873.06</v>
      </c>
      <c r="N958" s="5">
        <v>0.05</v>
      </c>
      <c r="O958" s="2">
        <v>5338.22</v>
      </c>
      <c r="P958" s="2">
        <v>483.1</v>
      </c>
      <c r="Q958" t="s">
        <v>2170</v>
      </c>
    </row>
    <row r="959" spans="1:17">
      <c r="A959" t="s">
        <v>974</v>
      </c>
      <c r="B959" s="1">
        <v>45889</v>
      </c>
      <c r="C959" t="s">
        <v>1661</v>
      </c>
      <c r="D959" t="s">
        <v>1959</v>
      </c>
      <c r="E959" t="s">
        <v>2114</v>
      </c>
      <c r="F959" t="s">
        <v>2119</v>
      </c>
      <c r="G959" t="s">
        <v>2129</v>
      </c>
      <c r="H959" t="s">
        <v>2139</v>
      </c>
      <c r="I959" t="s">
        <v>2144</v>
      </c>
      <c r="J959" t="s">
        <v>2152</v>
      </c>
      <c r="K959" t="s">
        <v>2162</v>
      </c>
      <c r="L959" s="3">
        <v>3</v>
      </c>
      <c r="M959" s="2">
        <v>334.22</v>
      </c>
      <c r="N959" s="5">
        <v>0.2</v>
      </c>
      <c r="O959" s="2">
        <v>802.13</v>
      </c>
      <c r="P959" s="2">
        <v>161.94999999999999</v>
      </c>
      <c r="Q959" t="s">
        <v>2170</v>
      </c>
    </row>
    <row r="960" spans="1:17">
      <c r="A960" t="s">
        <v>975</v>
      </c>
      <c r="B960" s="1">
        <v>45889</v>
      </c>
      <c r="C960" t="s">
        <v>1521</v>
      </c>
      <c r="D960" t="s">
        <v>1819</v>
      </c>
      <c r="E960" t="s">
        <v>2113</v>
      </c>
      <c r="F960" t="s">
        <v>2117</v>
      </c>
      <c r="G960" t="s">
        <v>2121</v>
      </c>
      <c r="H960" t="s">
        <v>2132</v>
      </c>
      <c r="I960" t="s">
        <v>2143</v>
      </c>
      <c r="J960" t="s">
        <v>2148</v>
      </c>
      <c r="K960" t="s">
        <v>2161</v>
      </c>
      <c r="L960" s="3">
        <v>4</v>
      </c>
      <c r="M960" s="2">
        <v>1719.65</v>
      </c>
      <c r="N960" s="5">
        <v>0.2</v>
      </c>
      <c r="O960" s="2">
        <v>5502.88</v>
      </c>
      <c r="P960" s="2">
        <v>612.95000000000005</v>
      </c>
      <c r="Q960" t="s">
        <v>2167</v>
      </c>
    </row>
    <row r="961" spans="1:17">
      <c r="A961" t="s">
        <v>976</v>
      </c>
      <c r="B961" s="1">
        <v>45889</v>
      </c>
      <c r="C961" t="s">
        <v>1596</v>
      </c>
      <c r="D961" t="s">
        <v>1894</v>
      </c>
      <c r="E961" t="s">
        <v>2114</v>
      </c>
      <c r="F961" t="s">
        <v>2117</v>
      </c>
      <c r="G961" t="s">
        <v>2121</v>
      </c>
      <c r="H961" t="s">
        <v>2132</v>
      </c>
      <c r="I961" t="s">
        <v>2143</v>
      </c>
      <c r="J961" t="s">
        <v>2146</v>
      </c>
      <c r="K961" t="s">
        <v>2164</v>
      </c>
      <c r="L961" s="3">
        <v>2</v>
      </c>
      <c r="M961" s="2">
        <v>17342.41</v>
      </c>
      <c r="N961" s="5">
        <v>0.15</v>
      </c>
      <c r="O961" s="2">
        <v>29482.1</v>
      </c>
      <c r="P961" s="2">
        <v>4759.71</v>
      </c>
      <c r="Q961" t="s">
        <v>2169</v>
      </c>
    </row>
    <row r="962" spans="1:17">
      <c r="A962" t="s">
        <v>977</v>
      </c>
      <c r="B962" s="1">
        <v>45890</v>
      </c>
      <c r="C962" t="s">
        <v>1790</v>
      </c>
      <c r="D962" t="s">
        <v>2088</v>
      </c>
      <c r="E962" t="s">
        <v>2114</v>
      </c>
      <c r="F962" t="s">
        <v>2119</v>
      </c>
      <c r="G962" t="s">
        <v>2130</v>
      </c>
      <c r="H962" t="s">
        <v>2141</v>
      </c>
      <c r="I962" t="s">
        <v>2143</v>
      </c>
      <c r="J962" t="s">
        <v>2148</v>
      </c>
      <c r="K962" t="s">
        <v>2161</v>
      </c>
      <c r="L962" s="3">
        <v>3</v>
      </c>
      <c r="M962" s="2">
        <v>1753.94</v>
      </c>
      <c r="N962" s="5">
        <v>0.05</v>
      </c>
      <c r="O962" s="2">
        <v>4998.7299999999996</v>
      </c>
      <c r="P962" s="2">
        <v>479.01</v>
      </c>
      <c r="Q962" t="s">
        <v>2170</v>
      </c>
    </row>
    <row r="963" spans="1:17">
      <c r="A963" t="s">
        <v>978</v>
      </c>
      <c r="B963" s="1">
        <v>45891</v>
      </c>
      <c r="C963" t="s">
        <v>1716</v>
      </c>
      <c r="D963" t="s">
        <v>2014</v>
      </c>
      <c r="E963" t="s">
        <v>2115</v>
      </c>
      <c r="F963" t="s">
        <v>2117</v>
      </c>
      <c r="G963" t="s">
        <v>2123</v>
      </c>
      <c r="H963" t="s">
        <v>2134</v>
      </c>
      <c r="I963" t="s">
        <v>2142</v>
      </c>
      <c r="J963" t="s">
        <v>2145</v>
      </c>
      <c r="K963" t="s">
        <v>2153</v>
      </c>
      <c r="L963" s="3">
        <v>2</v>
      </c>
      <c r="M963" s="2">
        <v>11940.57</v>
      </c>
      <c r="N963" s="5">
        <v>0.2</v>
      </c>
      <c r="O963" s="2">
        <v>19104.91</v>
      </c>
      <c r="P963" s="2">
        <v>1072.27</v>
      </c>
      <c r="Q963" t="s">
        <v>2167</v>
      </c>
    </row>
    <row r="964" spans="1:17">
      <c r="A964" t="s">
        <v>979</v>
      </c>
      <c r="B964" s="1">
        <v>45891</v>
      </c>
      <c r="C964" t="s">
        <v>1715</v>
      </c>
      <c r="D964" t="s">
        <v>2013</v>
      </c>
      <c r="E964" t="s">
        <v>2114</v>
      </c>
      <c r="F964" t="s">
        <v>2118</v>
      </c>
      <c r="G964" t="s">
        <v>2122</v>
      </c>
      <c r="H964" t="s">
        <v>2133</v>
      </c>
      <c r="I964" t="s">
        <v>2142</v>
      </c>
      <c r="J964" t="s">
        <v>2147</v>
      </c>
      <c r="K964" t="s">
        <v>2157</v>
      </c>
      <c r="L964" s="3">
        <v>1</v>
      </c>
      <c r="M964" s="2">
        <v>14688.75</v>
      </c>
      <c r="N964" s="5">
        <v>0.15</v>
      </c>
      <c r="O964" s="2">
        <v>12485.44</v>
      </c>
      <c r="P964" s="2">
        <v>3124.44</v>
      </c>
      <c r="Q964" t="s">
        <v>2170</v>
      </c>
    </row>
    <row r="965" spans="1:17">
      <c r="A965" t="s">
        <v>980</v>
      </c>
      <c r="B965" s="1">
        <v>45891</v>
      </c>
      <c r="C965" t="s">
        <v>1779</v>
      </c>
      <c r="D965" t="s">
        <v>2077</v>
      </c>
      <c r="E965" t="s">
        <v>2114</v>
      </c>
      <c r="F965" t="s">
        <v>2117</v>
      </c>
      <c r="G965" t="s">
        <v>2123</v>
      </c>
      <c r="H965" t="s">
        <v>2134</v>
      </c>
      <c r="I965" t="s">
        <v>2142</v>
      </c>
      <c r="J965" t="s">
        <v>2147</v>
      </c>
      <c r="K965" t="s">
        <v>2157</v>
      </c>
      <c r="L965" s="3">
        <v>1</v>
      </c>
      <c r="M965" s="2">
        <v>14586.83</v>
      </c>
      <c r="N965" s="5">
        <v>0.1</v>
      </c>
      <c r="O965" s="2">
        <v>13128.15</v>
      </c>
      <c r="P965" s="2">
        <v>2860.33</v>
      </c>
      <c r="Q965" t="s">
        <v>2167</v>
      </c>
    </row>
    <row r="966" spans="1:17">
      <c r="A966" t="s">
        <v>981</v>
      </c>
      <c r="B966" s="1">
        <v>45891</v>
      </c>
      <c r="C966" t="s">
        <v>1592</v>
      </c>
      <c r="D966" t="s">
        <v>1890</v>
      </c>
      <c r="E966" t="s">
        <v>2114</v>
      </c>
      <c r="F966" t="s">
        <v>2116</v>
      </c>
      <c r="G966" t="s">
        <v>2120</v>
      </c>
      <c r="H966" t="s">
        <v>2131</v>
      </c>
      <c r="I966" t="s">
        <v>2143</v>
      </c>
      <c r="J966" t="s">
        <v>2146</v>
      </c>
      <c r="K966" t="s">
        <v>2164</v>
      </c>
      <c r="L966" s="3">
        <v>4</v>
      </c>
      <c r="M966" s="2">
        <v>17435.84</v>
      </c>
      <c r="N966" s="5">
        <v>0.1</v>
      </c>
      <c r="O966" s="2">
        <v>62769.02</v>
      </c>
      <c r="P966" s="2">
        <v>5504.45</v>
      </c>
      <c r="Q966" t="s">
        <v>2167</v>
      </c>
    </row>
    <row r="967" spans="1:17">
      <c r="A967" t="s">
        <v>982</v>
      </c>
      <c r="B967" s="1">
        <v>45892</v>
      </c>
      <c r="C967" t="s">
        <v>1583</v>
      </c>
      <c r="D967" t="s">
        <v>1881</v>
      </c>
      <c r="E967" t="s">
        <v>2114</v>
      </c>
      <c r="F967" t="s">
        <v>2116</v>
      </c>
      <c r="G967" t="s">
        <v>2127</v>
      </c>
      <c r="H967" t="s">
        <v>2140</v>
      </c>
      <c r="I967" t="s">
        <v>2143</v>
      </c>
      <c r="J967" t="s">
        <v>2146</v>
      </c>
      <c r="K967" t="s">
        <v>2154</v>
      </c>
      <c r="L967" s="3">
        <v>4</v>
      </c>
      <c r="M967" s="2">
        <v>42612.19</v>
      </c>
      <c r="N967" s="5">
        <v>0</v>
      </c>
      <c r="O967" s="2">
        <v>170448.76</v>
      </c>
      <c r="P967" s="2">
        <v>19603.580000000002</v>
      </c>
      <c r="Q967" t="s">
        <v>2167</v>
      </c>
    </row>
    <row r="968" spans="1:17">
      <c r="A968" t="s">
        <v>983</v>
      </c>
      <c r="B968" s="1">
        <v>45892</v>
      </c>
      <c r="C968" t="s">
        <v>1525</v>
      </c>
      <c r="D968" t="s">
        <v>1823</v>
      </c>
      <c r="E968" t="s">
        <v>2114</v>
      </c>
      <c r="F968" t="s">
        <v>2118</v>
      </c>
      <c r="G968" t="s">
        <v>2122</v>
      </c>
      <c r="H968" t="s">
        <v>2133</v>
      </c>
      <c r="I968" t="s">
        <v>2143</v>
      </c>
      <c r="J968" t="s">
        <v>2146</v>
      </c>
      <c r="K968" t="s">
        <v>2154</v>
      </c>
      <c r="L968" s="3">
        <v>1</v>
      </c>
      <c r="M968" s="2">
        <v>43959.81</v>
      </c>
      <c r="N968" s="5">
        <v>0.15</v>
      </c>
      <c r="O968" s="2">
        <v>37365.839999999997</v>
      </c>
      <c r="P968" s="2">
        <v>4298.72</v>
      </c>
      <c r="Q968" t="s">
        <v>2169</v>
      </c>
    </row>
    <row r="969" spans="1:17">
      <c r="A969" t="s">
        <v>984</v>
      </c>
      <c r="B969" s="1">
        <v>45892</v>
      </c>
      <c r="C969" t="s">
        <v>1605</v>
      </c>
      <c r="D969" t="s">
        <v>1903</v>
      </c>
      <c r="E969" t="s">
        <v>2115</v>
      </c>
      <c r="F969" t="s">
        <v>2118</v>
      </c>
      <c r="G969" t="s">
        <v>2122</v>
      </c>
      <c r="H969" t="s">
        <v>2133</v>
      </c>
      <c r="I969" t="s">
        <v>2144</v>
      </c>
      <c r="J969" t="s">
        <v>2152</v>
      </c>
      <c r="K969" t="s">
        <v>2162</v>
      </c>
      <c r="L969" s="3">
        <v>1</v>
      </c>
      <c r="M969" s="2">
        <v>334.47</v>
      </c>
      <c r="N969" s="5">
        <v>0</v>
      </c>
      <c r="O969" s="2">
        <v>334.47</v>
      </c>
      <c r="P969" s="2">
        <v>108.25</v>
      </c>
      <c r="Q969" t="s">
        <v>2168</v>
      </c>
    </row>
    <row r="970" spans="1:17">
      <c r="A970" t="s">
        <v>985</v>
      </c>
      <c r="B970" s="1">
        <v>45892</v>
      </c>
      <c r="C970" t="s">
        <v>1758</v>
      </c>
      <c r="D970" t="s">
        <v>2056</v>
      </c>
      <c r="E970" t="s">
        <v>2114</v>
      </c>
      <c r="F970" t="s">
        <v>2117</v>
      </c>
      <c r="G970" t="s">
        <v>2123</v>
      </c>
      <c r="H970" t="s">
        <v>2134</v>
      </c>
      <c r="I970" t="s">
        <v>2144</v>
      </c>
      <c r="J970" t="s">
        <v>2150</v>
      </c>
      <c r="K970" t="s">
        <v>2159</v>
      </c>
      <c r="L970" s="3">
        <v>1</v>
      </c>
      <c r="M970" s="2">
        <v>458.11</v>
      </c>
      <c r="N970" s="5">
        <v>0.05</v>
      </c>
      <c r="O970" s="2">
        <v>435.2</v>
      </c>
      <c r="P970" s="2">
        <v>63.11</v>
      </c>
      <c r="Q970" t="s">
        <v>2168</v>
      </c>
    </row>
    <row r="971" spans="1:17">
      <c r="A971" t="s">
        <v>986</v>
      </c>
      <c r="B971" s="1">
        <v>45892</v>
      </c>
      <c r="C971" t="s">
        <v>1703</v>
      </c>
      <c r="D971" t="s">
        <v>2001</v>
      </c>
      <c r="E971" t="s">
        <v>2115</v>
      </c>
      <c r="F971" t="s">
        <v>2116</v>
      </c>
      <c r="G971" t="s">
        <v>2127</v>
      </c>
      <c r="H971" t="s">
        <v>2138</v>
      </c>
      <c r="I971" t="s">
        <v>2143</v>
      </c>
      <c r="J971" t="s">
        <v>2146</v>
      </c>
      <c r="K971" t="s">
        <v>2154</v>
      </c>
      <c r="L971" s="3">
        <v>1</v>
      </c>
      <c r="M971" s="2">
        <v>41866.25</v>
      </c>
      <c r="N971" s="5">
        <v>0.1</v>
      </c>
      <c r="O971" s="2">
        <v>37679.620000000003</v>
      </c>
      <c r="P971" s="2">
        <v>5612.42</v>
      </c>
      <c r="Q971" t="s">
        <v>2168</v>
      </c>
    </row>
    <row r="972" spans="1:17">
      <c r="A972" t="s">
        <v>987</v>
      </c>
      <c r="B972" s="1">
        <v>45892</v>
      </c>
      <c r="C972" t="s">
        <v>1709</v>
      </c>
      <c r="D972" t="s">
        <v>2007</v>
      </c>
      <c r="E972" t="s">
        <v>2115</v>
      </c>
      <c r="F972" t="s">
        <v>2118</v>
      </c>
      <c r="G972" t="s">
        <v>2126</v>
      </c>
      <c r="H972" t="s">
        <v>2137</v>
      </c>
      <c r="I972" t="s">
        <v>2144</v>
      </c>
      <c r="J972" t="s">
        <v>2152</v>
      </c>
      <c r="K972" t="s">
        <v>2166</v>
      </c>
      <c r="L972" s="3">
        <v>1</v>
      </c>
      <c r="M972" s="2">
        <v>578.53</v>
      </c>
      <c r="N972" s="5">
        <v>0.1</v>
      </c>
      <c r="O972" s="2">
        <v>520.67999999999995</v>
      </c>
      <c r="P972" s="2">
        <v>68.62</v>
      </c>
      <c r="Q972" t="s">
        <v>2167</v>
      </c>
    </row>
    <row r="973" spans="1:17">
      <c r="A973" t="s">
        <v>988</v>
      </c>
      <c r="B973" s="1">
        <v>45893</v>
      </c>
      <c r="C973" t="s">
        <v>1681</v>
      </c>
      <c r="D973" t="s">
        <v>1979</v>
      </c>
      <c r="E973" t="s">
        <v>2114</v>
      </c>
      <c r="F973" t="s">
        <v>2118</v>
      </c>
      <c r="G973" t="s">
        <v>2128</v>
      </c>
      <c r="H973" t="s">
        <v>2128</v>
      </c>
      <c r="I973" t="s">
        <v>2144</v>
      </c>
      <c r="J973" t="s">
        <v>2147</v>
      </c>
      <c r="K973" t="s">
        <v>2155</v>
      </c>
      <c r="L973" s="3">
        <v>2</v>
      </c>
      <c r="M973" s="2">
        <v>780.09</v>
      </c>
      <c r="N973" s="5">
        <v>0.1</v>
      </c>
      <c r="O973" s="2">
        <v>1404.16</v>
      </c>
      <c r="P973" s="2">
        <v>229.23</v>
      </c>
      <c r="Q973" t="s">
        <v>2167</v>
      </c>
    </row>
    <row r="974" spans="1:17">
      <c r="A974" t="s">
        <v>989</v>
      </c>
      <c r="B974" s="1">
        <v>45893</v>
      </c>
      <c r="C974" t="s">
        <v>1752</v>
      </c>
      <c r="D974" t="s">
        <v>2050</v>
      </c>
      <c r="E974" t="s">
        <v>2114</v>
      </c>
      <c r="F974" t="s">
        <v>2119</v>
      </c>
      <c r="G974" t="s">
        <v>2130</v>
      </c>
      <c r="H974" t="s">
        <v>2141</v>
      </c>
      <c r="I974" t="s">
        <v>2143</v>
      </c>
      <c r="J974" t="s">
        <v>2148</v>
      </c>
      <c r="K974" t="s">
        <v>2156</v>
      </c>
      <c r="L974" s="3">
        <v>3</v>
      </c>
      <c r="M974" s="2">
        <v>1225.76</v>
      </c>
      <c r="N974" s="5">
        <v>0.05</v>
      </c>
      <c r="O974" s="2">
        <v>3493.42</v>
      </c>
      <c r="P974" s="2">
        <v>416.13</v>
      </c>
      <c r="Q974" t="s">
        <v>2169</v>
      </c>
    </row>
    <row r="975" spans="1:17">
      <c r="A975" t="s">
        <v>990</v>
      </c>
      <c r="B975" s="1">
        <v>45893</v>
      </c>
      <c r="C975" t="s">
        <v>1540</v>
      </c>
      <c r="D975" t="s">
        <v>1838</v>
      </c>
      <c r="E975" t="s">
        <v>2113</v>
      </c>
      <c r="F975" t="s">
        <v>2119</v>
      </c>
      <c r="G975" t="s">
        <v>2129</v>
      </c>
      <c r="H975" t="s">
        <v>2139</v>
      </c>
      <c r="I975" t="s">
        <v>2144</v>
      </c>
      <c r="J975" t="s">
        <v>2150</v>
      </c>
      <c r="K975" t="s">
        <v>2159</v>
      </c>
      <c r="L975" s="3">
        <v>1</v>
      </c>
      <c r="M975" s="2">
        <v>445.86</v>
      </c>
      <c r="N975" s="5">
        <v>0.2</v>
      </c>
      <c r="O975" s="2">
        <v>356.69</v>
      </c>
      <c r="P975" s="2">
        <v>47.94</v>
      </c>
      <c r="Q975" t="s">
        <v>2167</v>
      </c>
    </row>
    <row r="976" spans="1:17">
      <c r="A976" t="s">
        <v>991</v>
      </c>
      <c r="B976" s="1">
        <v>45893</v>
      </c>
      <c r="C976" t="s">
        <v>1653</v>
      </c>
      <c r="D976" t="s">
        <v>1951</v>
      </c>
      <c r="E976" t="s">
        <v>2115</v>
      </c>
      <c r="F976" t="s">
        <v>2118</v>
      </c>
      <c r="G976" t="s">
        <v>2128</v>
      </c>
      <c r="H976" t="s">
        <v>2128</v>
      </c>
      <c r="I976" t="s">
        <v>2144</v>
      </c>
      <c r="J976" t="s">
        <v>2152</v>
      </c>
      <c r="K976" t="s">
        <v>2162</v>
      </c>
      <c r="L976" s="3">
        <v>5</v>
      </c>
      <c r="M976" s="2">
        <v>348.67</v>
      </c>
      <c r="N976" s="5">
        <v>0</v>
      </c>
      <c r="O976" s="2">
        <v>1743.35</v>
      </c>
      <c r="P976" s="2">
        <v>261.93</v>
      </c>
      <c r="Q976" t="s">
        <v>2170</v>
      </c>
    </row>
    <row r="977" spans="1:17">
      <c r="A977" t="s">
        <v>992</v>
      </c>
      <c r="B977" s="1">
        <v>45893</v>
      </c>
      <c r="C977" t="s">
        <v>1609</v>
      </c>
      <c r="D977" t="s">
        <v>1907</v>
      </c>
      <c r="E977" t="s">
        <v>2114</v>
      </c>
      <c r="F977" t="s">
        <v>2116</v>
      </c>
      <c r="G977" t="s">
        <v>2120</v>
      </c>
      <c r="H977" t="s">
        <v>2131</v>
      </c>
      <c r="I977" t="s">
        <v>2144</v>
      </c>
      <c r="J977" t="s">
        <v>2152</v>
      </c>
      <c r="K977" t="s">
        <v>2166</v>
      </c>
      <c r="L977" s="3">
        <v>1</v>
      </c>
      <c r="M977" s="2">
        <v>572.26</v>
      </c>
      <c r="N977" s="5">
        <v>0</v>
      </c>
      <c r="O977" s="2">
        <v>572.26</v>
      </c>
      <c r="P977" s="2">
        <v>140.75</v>
      </c>
      <c r="Q977" t="s">
        <v>2168</v>
      </c>
    </row>
    <row r="978" spans="1:17">
      <c r="A978" t="s">
        <v>993</v>
      </c>
      <c r="B978" s="1">
        <v>45894</v>
      </c>
      <c r="C978" t="s">
        <v>1694</v>
      </c>
      <c r="D978" t="s">
        <v>1992</v>
      </c>
      <c r="E978" t="s">
        <v>2114</v>
      </c>
      <c r="F978" t="s">
        <v>2116</v>
      </c>
      <c r="G978" t="s">
        <v>2127</v>
      </c>
      <c r="H978" t="s">
        <v>2140</v>
      </c>
      <c r="I978" t="s">
        <v>2143</v>
      </c>
      <c r="J978" t="s">
        <v>2148</v>
      </c>
      <c r="K978" t="s">
        <v>2161</v>
      </c>
      <c r="L978" s="3">
        <v>1</v>
      </c>
      <c r="M978" s="2">
        <v>1880.16</v>
      </c>
      <c r="N978" s="5">
        <v>0.1</v>
      </c>
      <c r="O978" s="2">
        <v>1692.14</v>
      </c>
      <c r="P978" s="2">
        <v>311.02</v>
      </c>
      <c r="Q978" t="s">
        <v>2169</v>
      </c>
    </row>
    <row r="979" spans="1:17">
      <c r="A979" t="s">
        <v>994</v>
      </c>
      <c r="B979" s="1">
        <v>45894</v>
      </c>
      <c r="C979" t="s">
        <v>1710</v>
      </c>
      <c r="D979" t="s">
        <v>2008</v>
      </c>
      <c r="E979" t="s">
        <v>2113</v>
      </c>
      <c r="F979" t="s">
        <v>2118</v>
      </c>
      <c r="G979" t="s">
        <v>2126</v>
      </c>
      <c r="H979" t="s">
        <v>2137</v>
      </c>
      <c r="I979" t="s">
        <v>2143</v>
      </c>
      <c r="J979" t="s">
        <v>2146</v>
      </c>
      <c r="K979" t="s">
        <v>2154</v>
      </c>
      <c r="L979" s="3">
        <v>1</v>
      </c>
      <c r="M979" s="2">
        <v>43522.15</v>
      </c>
      <c r="N979" s="5">
        <v>0.05</v>
      </c>
      <c r="O979" s="2">
        <v>41346.04</v>
      </c>
      <c r="P979" s="2">
        <v>4131.68</v>
      </c>
      <c r="Q979" t="s">
        <v>2170</v>
      </c>
    </row>
    <row r="980" spans="1:17">
      <c r="A980" t="s">
        <v>995</v>
      </c>
      <c r="B980" s="1">
        <v>45894</v>
      </c>
      <c r="C980" t="s">
        <v>1790</v>
      </c>
      <c r="D980" t="s">
        <v>2088</v>
      </c>
      <c r="E980" t="s">
        <v>2115</v>
      </c>
      <c r="F980" t="s">
        <v>2116</v>
      </c>
      <c r="G980" t="s">
        <v>2127</v>
      </c>
      <c r="H980" t="s">
        <v>2138</v>
      </c>
      <c r="I980" t="s">
        <v>2143</v>
      </c>
      <c r="J980" t="s">
        <v>2149</v>
      </c>
      <c r="K980" t="s">
        <v>2163</v>
      </c>
      <c r="L980" s="3">
        <v>1</v>
      </c>
      <c r="M980" s="2">
        <v>64668.75</v>
      </c>
      <c r="N980" s="5">
        <v>0</v>
      </c>
      <c r="O980" s="2">
        <v>64668.75</v>
      </c>
      <c r="P980" s="2">
        <v>7323.54</v>
      </c>
      <c r="Q980" t="s">
        <v>2169</v>
      </c>
    </row>
    <row r="981" spans="1:17">
      <c r="A981" t="s">
        <v>996</v>
      </c>
      <c r="B981" s="1">
        <v>45895</v>
      </c>
      <c r="C981" t="s">
        <v>1721</v>
      </c>
      <c r="D981" t="s">
        <v>2019</v>
      </c>
      <c r="E981" t="s">
        <v>2113</v>
      </c>
      <c r="F981" t="s">
        <v>2118</v>
      </c>
      <c r="G981" t="s">
        <v>2128</v>
      </c>
      <c r="H981" t="s">
        <v>2128</v>
      </c>
      <c r="I981" t="s">
        <v>2144</v>
      </c>
      <c r="J981" t="s">
        <v>2147</v>
      </c>
      <c r="K981" t="s">
        <v>2155</v>
      </c>
      <c r="L981" s="3">
        <v>3</v>
      </c>
      <c r="M981" s="2">
        <v>765.31</v>
      </c>
      <c r="N981" s="5">
        <v>0.1</v>
      </c>
      <c r="O981" s="2">
        <v>2066.34</v>
      </c>
      <c r="P981" s="2">
        <v>656.35</v>
      </c>
      <c r="Q981" t="s">
        <v>2169</v>
      </c>
    </row>
    <row r="982" spans="1:17">
      <c r="A982" t="s">
        <v>997</v>
      </c>
      <c r="B982" s="1">
        <v>45895</v>
      </c>
      <c r="C982" t="s">
        <v>1680</v>
      </c>
      <c r="D982" t="s">
        <v>1978</v>
      </c>
      <c r="E982" t="s">
        <v>2113</v>
      </c>
      <c r="F982" t="s">
        <v>2118</v>
      </c>
      <c r="G982" t="s">
        <v>2128</v>
      </c>
      <c r="H982" t="s">
        <v>2128</v>
      </c>
      <c r="I982" t="s">
        <v>2144</v>
      </c>
      <c r="J982" t="s">
        <v>2152</v>
      </c>
      <c r="K982" t="s">
        <v>2162</v>
      </c>
      <c r="L982" s="3">
        <v>4</v>
      </c>
      <c r="M982" s="2">
        <v>361.29</v>
      </c>
      <c r="N982" s="5">
        <v>0</v>
      </c>
      <c r="O982" s="2">
        <v>1445.16</v>
      </c>
      <c r="P982" s="2">
        <v>362.63</v>
      </c>
      <c r="Q982" t="s">
        <v>2170</v>
      </c>
    </row>
    <row r="983" spans="1:17">
      <c r="A983" t="s">
        <v>998</v>
      </c>
      <c r="B983" s="1">
        <v>45895</v>
      </c>
      <c r="C983" t="s">
        <v>1651</v>
      </c>
      <c r="D983" t="s">
        <v>1949</v>
      </c>
      <c r="E983" t="s">
        <v>2114</v>
      </c>
      <c r="F983" t="s">
        <v>2116</v>
      </c>
      <c r="G983" t="s">
        <v>2120</v>
      </c>
      <c r="H983" t="s">
        <v>2131</v>
      </c>
      <c r="I983" t="s">
        <v>2144</v>
      </c>
      <c r="J983" t="s">
        <v>2152</v>
      </c>
      <c r="K983" t="s">
        <v>2162</v>
      </c>
      <c r="L983" s="3">
        <v>3</v>
      </c>
      <c r="M983" s="2">
        <v>336.56</v>
      </c>
      <c r="N983" s="5">
        <v>0</v>
      </c>
      <c r="O983" s="2">
        <v>1009.68</v>
      </c>
      <c r="P983" s="2">
        <v>160.74</v>
      </c>
      <c r="Q983" t="s">
        <v>2169</v>
      </c>
    </row>
    <row r="984" spans="1:17">
      <c r="A984" t="s">
        <v>999</v>
      </c>
      <c r="B984" s="1">
        <v>45896</v>
      </c>
      <c r="C984" t="s">
        <v>1610</v>
      </c>
      <c r="D984" t="s">
        <v>1908</v>
      </c>
      <c r="E984" t="s">
        <v>2113</v>
      </c>
      <c r="F984" t="s">
        <v>2116</v>
      </c>
      <c r="G984" t="s">
        <v>2127</v>
      </c>
      <c r="H984" t="s">
        <v>2140</v>
      </c>
      <c r="I984" t="s">
        <v>2142</v>
      </c>
      <c r="J984" t="s">
        <v>2145</v>
      </c>
      <c r="K984" t="s">
        <v>2153</v>
      </c>
      <c r="L984" s="3">
        <v>4</v>
      </c>
      <c r="M984" s="2">
        <v>12190.85</v>
      </c>
      <c r="N984" s="5">
        <v>0.15</v>
      </c>
      <c r="O984" s="2">
        <v>41448.89</v>
      </c>
      <c r="P984" s="2">
        <v>4411.6000000000004</v>
      </c>
      <c r="Q984" t="s">
        <v>2170</v>
      </c>
    </row>
    <row r="985" spans="1:17">
      <c r="A985" t="s">
        <v>1000</v>
      </c>
      <c r="B985" s="1">
        <v>45896</v>
      </c>
      <c r="C985" t="s">
        <v>1555</v>
      </c>
      <c r="D985" t="s">
        <v>1853</v>
      </c>
      <c r="E985" t="s">
        <v>2114</v>
      </c>
      <c r="F985" t="s">
        <v>2118</v>
      </c>
      <c r="G985" t="s">
        <v>2122</v>
      </c>
      <c r="H985" t="s">
        <v>2133</v>
      </c>
      <c r="I985" t="s">
        <v>2142</v>
      </c>
      <c r="J985" t="s">
        <v>2145</v>
      </c>
      <c r="K985" t="s">
        <v>2153</v>
      </c>
      <c r="L985" s="3">
        <v>3</v>
      </c>
      <c r="M985" s="2">
        <v>12301.96</v>
      </c>
      <c r="N985" s="5">
        <v>0.05</v>
      </c>
      <c r="O985" s="2">
        <v>35060.589999999997</v>
      </c>
      <c r="P985" s="2">
        <v>7311.1</v>
      </c>
      <c r="Q985" t="s">
        <v>2168</v>
      </c>
    </row>
    <row r="986" spans="1:17">
      <c r="A986" t="s">
        <v>1001</v>
      </c>
      <c r="B986" s="1">
        <v>45896</v>
      </c>
      <c r="C986" t="s">
        <v>1548</v>
      </c>
      <c r="D986" t="s">
        <v>1846</v>
      </c>
      <c r="E986" t="s">
        <v>2115</v>
      </c>
      <c r="F986" t="s">
        <v>2118</v>
      </c>
      <c r="G986" t="s">
        <v>2126</v>
      </c>
      <c r="H986" t="s">
        <v>2137</v>
      </c>
      <c r="I986" t="s">
        <v>2143</v>
      </c>
      <c r="J986" t="s">
        <v>2149</v>
      </c>
      <c r="K986" t="s">
        <v>2158</v>
      </c>
      <c r="L986" s="3">
        <v>4</v>
      </c>
      <c r="M986" s="2">
        <v>46747.88</v>
      </c>
      <c r="N986" s="5">
        <v>0</v>
      </c>
      <c r="O986" s="2">
        <v>186991.52</v>
      </c>
      <c r="P986" s="2">
        <v>28370.74</v>
      </c>
      <c r="Q986" t="s">
        <v>2170</v>
      </c>
    </row>
    <row r="987" spans="1:17">
      <c r="A987" t="s">
        <v>1002</v>
      </c>
      <c r="B987" s="1">
        <v>45896</v>
      </c>
      <c r="C987" t="s">
        <v>1662</v>
      </c>
      <c r="D987" t="s">
        <v>1960</v>
      </c>
      <c r="E987" t="s">
        <v>2114</v>
      </c>
      <c r="F987" t="s">
        <v>2118</v>
      </c>
      <c r="G987" t="s">
        <v>2128</v>
      </c>
      <c r="H987" t="s">
        <v>2128</v>
      </c>
      <c r="I987" t="s">
        <v>2144</v>
      </c>
      <c r="J987" t="s">
        <v>2150</v>
      </c>
      <c r="K987" t="s">
        <v>2159</v>
      </c>
      <c r="L987" s="3">
        <v>2</v>
      </c>
      <c r="M987" s="2">
        <v>470.63</v>
      </c>
      <c r="N987" s="5">
        <v>0.05</v>
      </c>
      <c r="O987" s="2">
        <v>894.2</v>
      </c>
      <c r="P987" s="2">
        <v>200.61</v>
      </c>
      <c r="Q987" t="s">
        <v>2168</v>
      </c>
    </row>
    <row r="988" spans="1:17">
      <c r="A988" t="s">
        <v>1003</v>
      </c>
      <c r="B988" s="1">
        <v>45896</v>
      </c>
      <c r="C988" t="s">
        <v>1579</v>
      </c>
      <c r="D988" t="s">
        <v>1877</v>
      </c>
      <c r="E988" t="s">
        <v>2114</v>
      </c>
      <c r="F988" t="s">
        <v>2116</v>
      </c>
      <c r="G988" t="s">
        <v>2127</v>
      </c>
      <c r="H988" t="s">
        <v>2138</v>
      </c>
      <c r="I988" t="s">
        <v>2144</v>
      </c>
      <c r="J988" t="s">
        <v>2150</v>
      </c>
      <c r="K988" t="s">
        <v>2159</v>
      </c>
      <c r="L988" s="3">
        <v>1</v>
      </c>
      <c r="M988" s="2">
        <v>459.22</v>
      </c>
      <c r="N988" s="5">
        <v>0</v>
      </c>
      <c r="O988" s="2">
        <v>459.22</v>
      </c>
      <c r="P988" s="2">
        <v>87.7</v>
      </c>
      <c r="Q988" t="s">
        <v>2167</v>
      </c>
    </row>
    <row r="989" spans="1:17">
      <c r="A989" t="s">
        <v>1004</v>
      </c>
      <c r="B989" s="1">
        <v>45896</v>
      </c>
      <c r="C989" t="s">
        <v>1654</v>
      </c>
      <c r="D989" t="s">
        <v>1952</v>
      </c>
      <c r="E989" t="s">
        <v>2114</v>
      </c>
      <c r="F989" t="s">
        <v>2116</v>
      </c>
      <c r="G989" t="s">
        <v>2127</v>
      </c>
      <c r="H989" t="s">
        <v>2138</v>
      </c>
      <c r="I989" t="s">
        <v>2143</v>
      </c>
      <c r="J989" t="s">
        <v>2146</v>
      </c>
      <c r="K989" t="s">
        <v>2154</v>
      </c>
      <c r="L989" s="3">
        <v>3</v>
      </c>
      <c r="M989" s="2">
        <v>43790.75</v>
      </c>
      <c r="N989" s="5">
        <v>0.15</v>
      </c>
      <c r="O989" s="2">
        <v>111666.41</v>
      </c>
      <c r="P989" s="2">
        <v>7449.77</v>
      </c>
      <c r="Q989" t="s">
        <v>2168</v>
      </c>
    </row>
    <row r="990" spans="1:17">
      <c r="A990" t="s">
        <v>1005</v>
      </c>
      <c r="B990" s="1">
        <v>45896</v>
      </c>
      <c r="C990" t="s">
        <v>1727</v>
      </c>
      <c r="D990" t="s">
        <v>2025</v>
      </c>
      <c r="E990" t="s">
        <v>2114</v>
      </c>
      <c r="F990" t="s">
        <v>2118</v>
      </c>
      <c r="G990" t="s">
        <v>2126</v>
      </c>
      <c r="H990" t="s">
        <v>2137</v>
      </c>
      <c r="I990" t="s">
        <v>2143</v>
      </c>
      <c r="J990" t="s">
        <v>2148</v>
      </c>
      <c r="K990" t="s">
        <v>2161</v>
      </c>
      <c r="L990" s="3">
        <v>1</v>
      </c>
      <c r="M990" s="2">
        <v>1756.15</v>
      </c>
      <c r="N990" s="5">
        <v>0.1</v>
      </c>
      <c r="O990" s="2">
        <v>1580.54</v>
      </c>
      <c r="P990" s="2">
        <v>312.13</v>
      </c>
      <c r="Q990" t="s">
        <v>2168</v>
      </c>
    </row>
    <row r="991" spans="1:17">
      <c r="A991" t="s">
        <v>1006</v>
      </c>
      <c r="B991" s="1">
        <v>45897</v>
      </c>
      <c r="C991" t="s">
        <v>1764</v>
      </c>
      <c r="D991" t="s">
        <v>2062</v>
      </c>
      <c r="E991" t="s">
        <v>2114</v>
      </c>
      <c r="F991" t="s">
        <v>2117</v>
      </c>
      <c r="G991" t="s">
        <v>2125</v>
      </c>
      <c r="H991" t="s">
        <v>2136</v>
      </c>
      <c r="I991" t="s">
        <v>2144</v>
      </c>
      <c r="J991" t="s">
        <v>2147</v>
      </c>
      <c r="K991" t="s">
        <v>2155</v>
      </c>
      <c r="L991" s="3">
        <v>2</v>
      </c>
      <c r="M991" s="2">
        <v>748.18</v>
      </c>
      <c r="N991" s="5">
        <v>0.15</v>
      </c>
      <c r="O991" s="2">
        <v>1271.9100000000001</v>
      </c>
      <c r="P991" s="2">
        <v>271.43</v>
      </c>
      <c r="Q991" t="s">
        <v>2169</v>
      </c>
    </row>
    <row r="992" spans="1:17">
      <c r="A992" t="s">
        <v>1007</v>
      </c>
      <c r="B992" s="1">
        <v>45897</v>
      </c>
      <c r="C992" t="s">
        <v>1616</v>
      </c>
      <c r="D992" t="s">
        <v>1914</v>
      </c>
      <c r="E992" t="s">
        <v>2114</v>
      </c>
      <c r="F992" t="s">
        <v>2118</v>
      </c>
      <c r="G992" t="s">
        <v>2128</v>
      </c>
      <c r="H992" t="s">
        <v>2128</v>
      </c>
      <c r="I992" t="s">
        <v>2143</v>
      </c>
      <c r="J992" t="s">
        <v>2146</v>
      </c>
      <c r="K992" t="s">
        <v>2164</v>
      </c>
      <c r="L992" s="3">
        <v>2</v>
      </c>
      <c r="M992" s="2">
        <v>18844.66</v>
      </c>
      <c r="N992" s="5">
        <v>0.05</v>
      </c>
      <c r="O992" s="2">
        <v>35804.85</v>
      </c>
      <c r="P992" s="2">
        <v>2701.77</v>
      </c>
      <c r="Q992" t="s">
        <v>2169</v>
      </c>
    </row>
    <row r="993" spans="1:17">
      <c r="A993" t="s">
        <v>1008</v>
      </c>
      <c r="B993" s="1">
        <v>45897</v>
      </c>
      <c r="C993" t="s">
        <v>1560</v>
      </c>
      <c r="D993" t="s">
        <v>1858</v>
      </c>
      <c r="E993" t="s">
        <v>2113</v>
      </c>
      <c r="F993" t="s">
        <v>2118</v>
      </c>
      <c r="G993" t="s">
        <v>2128</v>
      </c>
      <c r="H993" t="s">
        <v>2128</v>
      </c>
      <c r="I993" t="s">
        <v>2142</v>
      </c>
      <c r="J993" t="s">
        <v>2147</v>
      </c>
      <c r="K993" t="s">
        <v>2157</v>
      </c>
      <c r="L993" s="3">
        <v>2</v>
      </c>
      <c r="M993" s="2">
        <v>14150.61</v>
      </c>
      <c r="N993" s="5">
        <v>0.1</v>
      </c>
      <c r="O993" s="2">
        <v>25471.1</v>
      </c>
      <c r="P993" s="2">
        <v>2822.82</v>
      </c>
      <c r="Q993" t="s">
        <v>2167</v>
      </c>
    </row>
    <row r="994" spans="1:17">
      <c r="A994" t="s">
        <v>1009</v>
      </c>
      <c r="B994" s="1">
        <v>45898</v>
      </c>
      <c r="C994" t="s">
        <v>1679</v>
      </c>
      <c r="D994" t="s">
        <v>1977</v>
      </c>
      <c r="E994" t="s">
        <v>2114</v>
      </c>
      <c r="F994" t="s">
        <v>2116</v>
      </c>
      <c r="G994" t="s">
        <v>2120</v>
      </c>
      <c r="H994" t="s">
        <v>2131</v>
      </c>
      <c r="I994" t="s">
        <v>2142</v>
      </c>
      <c r="J994" t="s">
        <v>2145</v>
      </c>
      <c r="K994" t="s">
        <v>2153</v>
      </c>
      <c r="L994" s="3">
        <v>1</v>
      </c>
      <c r="M994" s="2">
        <v>11415.12</v>
      </c>
      <c r="N994" s="5">
        <v>0.1</v>
      </c>
      <c r="O994" s="2">
        <v>10273.61</v>
      </c>
      <c r="P994" s="2">
        <v>2142.52</v>
      </c>
      <c r="Q994" t="s">
        <v>2168</v>
      </c>
    </row>
    <row r="995" spans="1:17">
      <c r="A995" t="s">
        <v>1010</v>
      </c>
      <c r="B995" s="1">
        <v>45898</v>
      </c>
      <c r="C995" t="s">
        <v>1805</v>
      </c>
      <c r="D995" t="s">
        <v>2103</v>
      </c>
      <c r="E995" t="s">
        <v>2113</v>
      </c>
      <c r="F995" t="s">
        <v>2117</v>
      </c>
      <c r="G995" t="s">
        <v>2125</v>
      </c>
      <c r="H995" t="s">
        <v>2136</v>
      </c>
      <c r="I995" t="s">
        <v>2143</v>
      </c>
      <c r="J995" t="s">
        <v>2148</v>
      </c>
      <c r="K995" t="s">
        <v>2156</v>
      </c>
      <c r="L995" s="3">
        <v>4</v>
      </c>
      <c r="M995" s="2">
        <v>1248.07</v>
      </c>
      <c r="N995" s="5">
        <v>0.05</v>
      </c>
      <c r="O995" s="2">
        <v>4742.67</v>
      </c>
      <c r="P995" s="2">
        <v>403.49</v>
      </c>
      <c r="Q995" t="s">
        <v>2170</v>
      </c>
    </row>
    <row r="996" spans="1:17">
      <c r="A996" t="s">
        <v>1011</v>
      </c>
      <c r="B996" s="1">
        <v>45898</v>
      </c>
      <c r="C996" t="s">
        <v>1627</v>
      </c>
      <c r="D996" t="s">
        <v>1925</v>
      </c>
      <c r="E996" t="s">
        <v>2113</v>
      </c>
      <c r="F996" t="s">
        <v>2118</v>
      </c>
      <c r="G996" t="s">
        <v>2128</v>
      </c>
      <c r="H996" t="s">
        <v>2128</v>
      </c>
      <c r="I996" t="s">
        <v>2144</v>
      </c>
      <c r="J996" t="s">
        <v>2150</v>
      </c>
      <c r="K996" t="s">
        <v>2159</v>
      </c>
      <c r="L996" s="3">
        <v>1</v>
      </c>
      <c r="M996" s="2">
        <v>450.3</v>
      </c>
      <c r="N996" s="5">
        <v>0.05</v>
      </c>
      <c r="O996" s="2">
        <v>427.78</v>
      </c>
      <c r="P996" s="2">
        <v>82.19</v>
      </c>
      <c r="Q996" t="s">
        <v>2170</v>
      </c>
    </row>
    <row r="997" spans="1:17">
      <c r="A997" t="s">
        <v>1012</v>
      </c>
      <c r="B997" s="1">
        <v>45898</v>
      </c>
      <c r="C997" t="s">
        <v>1590</v>
      </c>
      <c r="D997" t="s">
        <v>1888</v>
      </c>
      <c r="E997" t="s">
        <v>2114</v>
      </c>
      <c r="F997" t="s">
        <v>2119</v>
      </c>
      <c r="G997" t="s">
        <v>2130</v>
      </c>
      <c r="H997" t="s">
        <v>2141</v>
      </c>
      <c r="I997" t="s">
        <v>2143</v>
      </c>
      <c r="J997" t="s">
        <v>2149</v>
      </c>
      <c r="K997" t="s">
        <v>2158</v>
      </c>
      <c r="L997" s="3">
        <v>4</v>
      </c>
      <c r="M997" s="2">
        <v>48738.73</v>
      </c>
      <c r="N997" s="5">
        <v>0.15</v>
      </c>
      <c r="O997" s="2">
        <v>165711.67999999999</v>
      </c>
      <c r="P997" s="2">
        <v>26333.67</v>
      </c>
      <c r="Q997" t="s">
        <v>2168</v>
      </c>
    </row>
    <row r="998" spans="1:17">
      <c r="A998" t="s">
        <v>1013</v>
      </c>
      <c r="B998" s="1">
        <v>45899</v>
      </c>
      <c r="C998" t="s">
        <v>1663</v>
      </c>
      <c r="D998" t="s">
        <v>1961</v>
      </c>
      <c r="E998" t="s">
        <v>2113</v>
      </c>
      <c r="F998" t="s">
        <v>2118</v>
      </c>
      <c r="G998" t="s">
        <v>2126</v>
      </c>
      <c r="H998" t="s">
        <v>2137</v>
      </c>
      <c r="I998" t="s">
        <v>2142</v>
      </c>
      <c r="J998" t="s">
        <v>2145</v>
      </c>
      <c r="K998" t="s">
        <v>2153</v>
      </c>
      <c r="L998" s="3">
        <v>3</v>
      </c>
      <c r="M998" s="2">
        <v>11471.93</v>
      </c>
      <c r="N998" s="5">
        <v>0</v>
      </c>
      <c r="O998" s="2">
        <v>34415.79</v>
      </c>
      <c r="P998" s="2">
        <v>4851.1099999999997</v>
      </c>
      <c r="Q998" t="s">
        <v>2168</v>
      </c>
    </row>
    <row r="999" spans="1:17">
      <c r="A999" t="s">
        <v>1014</v>
      </c>
      <c r="B999" s="1">
        <v>45899</v>
      </c>
      <c r="C999" t="s">
        <v>1544</v>
      </c>
      <c r="D999" t="s">
        <v>1842</v>
      </c>
      <c r="E999" t="s">
        <v>2114</v>
      </c>
      <c r="F999" t="s">
        <v>2116</v>
      </c>
      <c r="G999" t="s">
        <v>2127</v>
      </c>
      <c r="H999" t="s">
        <v>2138</v>
      </c>
      <c r="I999" t="s">
        <v>2143</v>
      </c>
      <c r="J999" t="s">
        <v>2148</v>
      </c>
      <c r="K999" t="s">
        <v>2161</v>
      </c>
      <c r="L999" s="3">
        <v>4</v>
      </c>
      <c r="M999" s="2">
        <v>1802.96</v>
      </c>
      <c r="N999" s="5">
        <v>0</v>
      </c>
      <c r="O999" s="2">
        <v>7211.84</v>
      </c>
      <c r="P999" s="2">
        <v>1371.07</v>
      </c>
      <c r="Q999" t="s">
        <v>2168</v>
      </c>
    </row>
    <row r="1000" spans="1:17">
      <c r="A1000" t="s">
        <v>1015</v>
      </c>
      <c r="B1000" s="1">
        <v>45899</v>
      </c>
      <c r="C1000" t="s">
        <v>1735</v>
      </c>
      <c r="D1000" t="s">
        <v>2033</v>
      </c>
      <c r="E1000" t="s">
        <v>2114</v>
      </c>
      <c r="F1000" t="s">
        <v>2118</v>
      </c>
      <c r="G1000" t="s">
        <v>2122</v>
      </c>
      <c r="H1000" t="s">
        <v>2133</v>
      </c>
      <c r="I1000" t="s">
        <v>2143</v>
      </c>
      <c r="J1000" t="s">
        <v>2146</v>
      </c>
      <c r="K1000" t="s">
        <v>2164</v>
      </c>
      <c r="L1000" s="3">
        <v>1</v>
      </c>
      <c r="M1000" s="2">
        <v>18220.28</v>
      </c>
      <c r="N1000" s="5">
        <v>0.2</v>
      </c>
      <c r="O1000" s="2">
        <v>14576.22</v>
      </c>
      <c r="P1000" s="2">
        <v>1544.06</v>
      </c>
      <c r="Q1000" t="s">
        <v>2168</v>
      </c>
    </row>
    <row r="1001" spans="1:17">
      <c r="A1001" t="s">
        <v>1016</v>
      </c>
      <c r="B1001" s="1">
        <v>45899</v>
      </c>
      <c r="C1001" t="s">
        <v>1761</v>
      </c>
      <c r="D1001" t="s">
        <v>2059</v>
      </c>
      <c r="E1001" t="s">
        <v>2114</v>
      </c>
      <c r="F1001" t="s">
        <v>2118</v>
      </c>
      <c r="G1001" t="s">
        <v>2128</v>
      </c>
      <c r="H1001" t="s">
        <v>2128</v>
      </c>
      <c r="I1001" t="s">
        <v>2143</v>
      </c>
      <c r="J1001" t="s">
        <v>2148</v>
      </c>
      <c r="K1001" t="s">
        <v>2156</v>
      </c>
      <c r="L1001" s="3">
        <v>1</v>
      </c>
      <c r="M1001" s="2">
        <v>1220.31</v>
      </c>
      <c r="N1001" s="5">
        <v>0.15</v>
      </c>
      <c r="O1001" s="2">
        <v>1037.26</v>
      </c>
      <c r="P1001" s="2">
        <v>113.51</v>
      </c>
      <c r="Q1001" t="s">
        <v>2167</v>
      </c>
    </row>
    <row r="1002" spans="1:17">
      <c r="A1002" t="s">
        <v>1017</v>
      </c>
      <c r="B1002" s="1">
        <v>45899</v>
      </c>
      <c r="C1002" t="s">
        <v>1781</v>
      </c>
      <c r="D1002" t="s">
        <v>2079</v>
      </c>
      <c r="E1002" t="s">
        <v>2114</v>
      </c>
      <c r="F1002" t="s">
        <v>2116</v>
      </c>
      <c r="G1002" t="s">
        <v>2127</v>
      </c>
      <c r="H1002" t="s">
        <v>2140</v>
      </c>
      <c r="I1002" t="s">
        <v>2142</v>
      </c>
      <c r="J1002" t="s">
        <v>2147</v>
      </c>
      <c r="K1002" t="s">
        <v>2157</v>
      </c>
      <c r="L1002" s="3">
        <v>1</v>
      </c>
      <c r="M1002" s="2">
        <v>13898.46</v>
      </c>
      <c r="N1002" s="5">
        <v>0.1</v>
      </c>
      <c r="O1002" s="2">
        <v>12508.61</v>
      </c>
      <c r="P1002" s="2">
        <v>1749.41</v>
      </c>
      <c r="Q1002" t="s">
        <v>2168</v>
      </c>
    </row>
    <row r="1003" spans="1:17">
      <c r="A1003" t="s">
        <v>1018</v>
      </c>
      <c r="B1003" s="1">
        <v>45899</v>
      </c>
      <c r="C1003" t="s">
        <v>1616</v>
      </c>
      <c r="D1003" t="s">
        <v>1914</v>
      </c>
      <c r="E1003" t="s">
        <v>2115</v>
      </c>
      <c r="F1003" t="s">
        <v>2116</v>
      </c>
      <c r="G1003" t="s">
        <v>2127</v>
      </c>
      <c r="H1003" t="s">
        <v>2138</v>
      </c>
      <c r="I1003" t="s">
        <v>2144</v>
      </c>
      <c r="J1003" t="s">
        <v>2152</v>
      </c>
      <c r="K1003" t="s">
        <v>2166</v>
      </c>
      <c r="L1003" s="3">
        <v>1</v>
      </c>
      <c r="M1003" s="2">
        <v>620.66999999999996</v>
      </c>
      <c r="N1003" s="5">
        <v>0</v>
      </c>
      <c r="O1003" s="2">
        <v>620.66999999999996</v>
      </c>
      <c r="P1003" s="2">
        <v>171.5</v>
      </c>
      <c r="Q1003" t="s">
        <v>2169</v>
      </c>
    </row>
    <row r="1004" spans="1:17">
      <c r="A1004" t="s">
        <v>1019</v>
      </c>
      <c r="B1004" s="1">
        <v>45900</v>
      </c>
      <c r="C1004" t="s">
        <v>1708</v>
      </c>
      <c r="D1004" t="s">
        <v>2006</v>
      </c>
      <c r="E1004" t="s">
        <v>2114</v>
      </c>
      <c r="F1004" t="s">
        <v>2116</v>
      </c>
      <c r="G1004" t="s">
        <v>2127</v>
      </c>
      <c r="H1004" t="s">
        <v>2138</v>
      </c>
      <c r="I1004" t="s">
        <v>2143</v>
      </c>
      <c r="J1004" t="s">
        <v>2149</v>
      </c>
      <c r="K1004" t="s">
        <v>2158</v>
      </c>
      <c r="L1004" s="3">
        <v>2</v>
      </c>
      <c r="M1004" s="2">
        <v>47610.95</v>
      </c>
      <c r="N1004" s="5">
        <v>0</v>
      </c>
      <c r="O1004" s="2">
        <v>95221.9</v>
      </c>
      <c r="P1004" s="2">
        <v>17631.759999999998</v>
      </c>
      <c r="Q1004" t="s">
        <v>2168</v>
      </c>
    </row>
    <row r="1005" spans="1:17">
      <c r="A1005" t="s">
        <v>1020</v>
      </c>
      <c r="B1005" s="1">
        <v>45900</v>
      </c>
      <c r="C1005" t="s">
        <v>1732</v>
      </c>
      <c r="D1005" t="s">
        <v>2030</v>
      </c>
      <c r="E1005" t="s">
        <v>2113</v>
      </c>
      <c r="F1005" t="s">
        <v>2117</v>
      </c>
      <c r="G1005" t="s">
        <v>2125</v>
      </c>
      <c r="H1005" t="s">
        <v>2136</v>
      </c>
      <c r="I1005" t="s">
        <v>2143</v>
      </c>
      <c r="J1005" t="s">
        <v>2149</v>
      </c>
      <c r="K1005" t="s">
        <v>2163</v>
      </c>
      <c r="L1005" s="3">
        <v>3</v>
      </c>
      <c r="M1005" s="2">
        <v>65472.18</v>
      </c>
      <c r="N1005" s="5">
        <v>0</v>
      </c>
      <c r="O1005" s="2">
        <v>196416.54</v>
      </c>
      <c r="P1005" s="2">
        <v>22773.34</v>
      </c>
      <c r="Q1005" t="s">
        <v>2169</v>
      </c>
    </row>
    <row r="1006" spans="1:17">
      <c r="A1006" t="s">
        <v>1021</v>
      </c>
      <c r="B1006" s="1">
        <v>45900</v>
      </c>
      <c r="C1006" t="s">
        <v>1794</v>
      </c>
      <c r="D1006" t="s">
        <v>2092</v>
      </c>
      <c r="E1006" t="s">
        <v>2115</v>
      </c>
      <c r="F1006" t="s">
        <v>2117</v>
      </c>
      <c r="G1006" t="s">
        <v>2125</v>
      </c>
      <c r="H1006" t="s">
        <v>2136</v>
      </c>
      <c r="I1006" t="s">
        <v>2143</v>
      </c>
      <c r="J1006" t="s">
        <v>2149</v>
      </c>
      <c r="K1006" t="s">
        <v>2163</v>
      </c>
      <c r="L1006" s="3">
        <v>2</v>
      </c>
      <c r="M1006" s="2">
        <v>63760.12</v>
      </c>
      <c r="N1006" s="5">
        <v>0</v>
      </c>
      <c r="O1006" s="2">
        <v>127520.24</v>
      </c>
      <c r="P1006" s="2">
        <v>26014.720000000001</v>
      </c>
      <c r="Q1006" t="s">
        <v>2168</v>
      </c>
    </row>
    <row r="1007" spans="1:17">
      <c r="A1007" t="s">
        <v>1022</v>
      </c>
      <c r="B1007" s="1">
        <v>45900</v>
      </c>
      <c r="C1007" t="s">
        <v>1757</v>
      </c>
      <c r="D1007" t="s">
        <v>2055</v>
      </c>
      <c r="E1007" t="s">
        <v>2114</v>
      </c>
      <c r="F1007" t="s">
        <v>2117</v>
      </c>
      <c r="G1007" t="s">
        <v>2123</v>
      </c>
      <c r="H1007" t="s">
        <v>2134</v>
      </c>
      <c r="I1007" t="s">
        <v>2143</v>
      </c>
      <c r="J1007" t="s">
        <v>2146</v>
      </c>
      <c r="K1007" t="s">
        <v>2154</v>
      </c>
      <c r="L1007" s="3">
        <v>5</v>
      </c>
      <c r="M1007" s="2">
        <v>43493.64</v>
      </c>
      <c r="N1007" s="5">
        <v>0</v>
      </c>
      <c r="O1007" s="2">
        <v>217468.2</v>
      </c>
      <c r="P1007" s="2">
        <v>32010.799999999999</v>
      </c>
      <c r="Q1007" t="s">
        <v>2168</v>
      </c>
    </row>
    <row r="1008" spans="1:17">
      <c r="A1008" t="s">
        <v>1023</v>
      </c>
      <c r="B1008" s="1">
        <v>45900</v>
      </c>
      <c r="C1008" t="s">
        <v>1657</v>
      </c>
      <c r="D1008" t="s">
        <v>1955</v>
      </c>
      <c r="E1008" t="s">
        <v>2115</v>
      </c>
      <c r="F1008" t="s">
        <v>2119</v>
      </c>
      <c r="G1008" t="s">
        <v>2124</v>
      </c>
      <c r="H1008" t="s">
        <v>2135</v>
      </c>
      <c r="I1008" t="s">
        <v>2142</v>
      </c>
      <c r="J1008" t="s">
        <v>2145</v>
      </c>
      <c r="K1008" t="s">
        <v>2165</v>
      </c>
      <c r="L1008" s="3">
        <v>2</v>
      </c>
      <c r="M1008" s="2">
        <v>6349.93</v>
      </c>
      <c r="N1008" s="5">
        <v>0</v>
      </c>
      <c r="O1008" s="2">
        <v>12699.86</v>
      </c>
      <c r="P1008" s="2">
        <v>3155.93</v>
      </c>
      <c r="Q1008" t="s">
        <v>2167</v>
      </c>
    </row>
    <row r="1009" spans="1:17">
      <c r="A1009" t="s">
        <v>1024</v>
      </c>
      <c r="B1009" s="1">
        <v>45900</v>
      </c>
      <c r="C1009" t="s">
        <v>1718</v>
      </c>
      <c r="D1009" t="s">
        <v>2016</v>
      </c>
      <c r="E1009" t="s">
        <v>2114</v>
      </c>
      <c r="F1009" t="s">
        <v>2119</v>
      </c>
      <c r="G1009" t="s">
        <v>2130</v>
      </c>
      <c r="H1009" t="s">
        <v>2141</v>
      </c>
      <c r="I1009" t="s">
        <v>2144</v>
      </c>
      <c r="J1009" t="s">
        <v>2150</v>
      </c>
      <c r="K1009" t="s">
        <v>2159</v>
      </c>
      <c r="L1009" s="3">
        <v>3</v>
      </c>
      <c r="M1009" s="2">
        <v>445.81</v>
      </c>
      <c r="N1009" s="5">
        <v>0</v>
      </c>
      <c r="O1009" s="2">
        <v>1337.43</v>
      </c>
      <c r="P1009" s="2">
        <v>427.44</v>
      </c>
      <c r="Q1009" t="s">
        <v>2167</v>
      </c>
    </row>
    <row r="1010" spans="1:17">
      <c r="A1010" t="s">
        <v>1025</v>
      </c>
      <c r="B1010" s="1">
        <v>45900</v>
      </c>
      <c r="C1010" t="s">
        <v>1626</v>
      </c>
      <c r="D1010" t="s">
        <v>1924</v>
      </c>
      <c r="E1010" t="s">
        <v>2113</v>
      </c>
      <c r="F1010" t="s">
        <v>2117</v>
      </c>
      <c r="G1010" t="s">
        <v>2123</v>
      </c>
      <c r="H1010" t="s">
        <v>2134</v>
      </c>
      <c r="I1010" t="s">
        <v>2144</v>
      </c>
      <c r="J1010" t="s">
        <v>2152</v>
      </c>
      <c r="K1010" t="s">
        <v>2166</v>
      </c>
      <c r="L1010" s="3">
        <v>4</v>
      </c>
      <c r="M1010" s="2">
        <v>611.07000000000005</v>
      </c>
      <c r="N1010" s="5">
        <v>0</v>
      </c>
      <c r="O1010" s="2">
        <v>2444.2800000000002</v>
      </c>
      <c r="P1010" s="2">
        <v>375.98</v>
      </c>
      <c r="Q1010" t="s">
        <v>2168</v>
      </c>
    </row>
    <row r="1011" spans="1:17">
      <c r="A1011" t="s">
        <v>1026</v>
      </c>
      <c r="B1011" s="1">
        <v>45901</v>
      </c>
      <c r="C1011" t="s">
        <v>1643</v>
      </c>
      <c r="D1011" t="s">
        <v>1941</v>
      </c>
      <c r="E1011" t="s">
        <v>2115</v>
      </c>
      <c r="F1011" t="s">
        <v>2119</v>
      </c>
      <c r="G1011" t="s">
        <v>2124</v>
      </c>
      <c r="H1011" t="s">
        <v>2135</v>
      </c>
      <c r="I1011" t="s">
        <v>2143</v>
      </c>
      <c r="J1011" t="s">
        <v>2148</v>
      </c>
      <c r="K1011" t="s">
        <v>2161</v>
      </c>
      <c r="L1011" s="3">
        <v>1</v>
      </c>
      <c r="M1011" s="2">
        <v>1820.17</v>
      </c>
      <c r="N1011" s="5">
        <v>0.15</v>
      </c>
      <c r="O1011" s="2">
        <v>1547.14</v>
      </c>
      <c r="P1011" s="2">
        <v>182.12</v>
      </c>
      <c r="Q1011" t="s">
        <v>2167</v>
      </c>
    </row>
    <row r="1012" spans="1:17">
      <c r="A1012" t="s">
        <v>1027</v>
      </c>
      <c r="B1012" s="1">
        <v>45901</v>
      </c>
      <c r="C1012" t="s">
        <v>1734</v>
      </c>
      <c r="D1012" t="s">
        <v>2032</v>
      </c>
      <c r="E1012" t="s">
        <v>2113</v>
      </c>
      <c r="F1012" t="s">
        <v>2117</v>
      </c>
      <c r="G1012" t="s">
        <v>2125</v>
      </c>
      <c r="H1012" t="s">
        <v>2136</v>
      </c>
      <c r="I1012" t="s">
        <v>2143</v>
      </c>
      <c r="J1012" t="s">
        <v>2149</v>
      </c>
      <c r="K1012" t="s">
        <v>2158</v>
      </c>
      <c r="L1012" s="3">
        <v>1</v>
      </c>
      <c r="M1012" s="2">
        <v>47458.78</v>
      </c>
      <c r="N1012" s="5">
        <v>0.1</v>
      </c>
      <c r="O1012" s="2">
        <v>42712.9</v>
      </c>
      <c r="P1012" s="2">
        <v>7154.17</v>
      </c>
      <c r="Q1012" t="s">
        <v>2169</v>
      </c>
    </row>
    <row r="1013" spans="1:17">
      <c r="A1013" t="s">
        <v>1028</v>
      </c>
      <c r="B1013" s="1">
        <v>45901</v>
      </c>
      <c r="C1013" t="s">
        <v>1554</v>
      </c>
      <c r="D1013" t="s">
        <v>1852</v>
      </c>
      <c r="E1013" t="s">
        <v>2115</v>
      </c>
      <c r="F1013" t="s">
        <v>2116</v>
      </c>
      <c r="G1013" t="s">
        <v>2127</v>
      </c>
      <c r="H1013" t="s">
        <v>2140</v>
      </c>
      <c r="I1013" t="s">
        <v>2142</v>
      </c>
      <c r="J1013" t="s">
        <v>2145</v>
      </c>
      <c r="K1013" t="s">
        <v>2153</v>
      </c>
      <c r="L1013" s="3">
        <v>4</v>
      </c>
      <c r="M1013" s="2">
        <v>11418.44</v>
      </c>
      <c r="N1013" s="5">
        <v>0.05</v>
      </c>
      <c r="O1013" s="2">
        <v>43390.07</v>
      </c>
      <c r="P1013" s="2">
        <v>7621.62</v>
      </c>
      <c r="Q1013" t="s">
        <v>2167</v>
      </c>
    </row>
    <row r="1014" spans="1:17">
      <c r="A1014" t="s">
        <v>1029</v>
      </c>
      <c r="B1014" s="1">
        <v>45901</v>
      </c>
      <c r="C1014" t="s">
        <v>1805</v>
      </c>
      <c r="D1014" t="s">
        <v>2103</v>
      </c>
      <c r="E1014" t="s">
        <v>2113</v>
      </c>
      <c r="F1014" t="s">
        <v>2119</v>
      </c>
      <c r="G1014" t="s">
        <v>2130</v>
      </c>
      <c r="H1014" t="s">
        <v>2141</v>
      </c>
      <c r="I1014" t="s">
        <v>2142</v>
      </c>
      <c r="J1014" t="s">
        <v>2145</v>
      </c>
      <c r="K1014" t="s">
        <v>2153</v>
      </c>
      <c r="L1014" s="3">
        <v>3</v>
      </c>
      <c r="M1014" s="2">
        <v>11754.79</v>
      </c>
      <c r="N1014" s="5">
        <v>0</v>
      </c>
      <c r="O1014" s="2">
        <v>35264.370000000003</v>
      </c>
      <c r="P1014" s="2">
        <v>7727.78</v>
      </c>
      <c r="Q1014" t="s">
        <v>2170</v>
      </c>
    </row>
    <row r="1015" spans="1:17">
      <c r="A1015" t="s">
        <v>1030</v>
      </c>
      <c r="B1015" s="1">
        <v>45902</v>
      </c>
      <c r="C1015" t="s">
        <v>1701</v>
      </c>
      <c r="D1015" t="s">
        <v>1999</v>
      </c>
      <c r="E1015" t="s">
        <v>2114</v>
      </c>
      <c r="F1015" t="s">
        <v>2116</v>
      </c>
      <c r="G1015" t="s">
        <v>2127</v>
      </c>
      <c r="H1015" t="s">
        <v>2138</v>
      </c>
      <c r="I1015" t="s">
        <v>2143</v>
      </c>
      <c r="J1015" t="s">
        <v>2148</v>
      </c>
      <c r="K1015" t="s">
        <v>2161</v>
      </c>
      <c r="L1015" s="3">
        <v>2</v>
      </c>
      <c r="M1015" s="2">
        <v>1880.57</v>
      </c>
      <c r="N1015" s="5">
        <v>0</v>
      </c>
      <c r="O1015" s="2">
        <v>3761.14</v>
      </c>
      <c r="P1015" s="2">
        <v>551.1</v>
      </c>
      <c r="Q1015" t="s">
        <v>2169</v>
      </c>
    </row>
    <row r="1016" spans="1:17">
      <c r="A1016" t="s">
        <v>1031</v>
      </c>
      <c r="B1016" s="1">
        <v>45902</v>
      </c>
      <c r="C1016" t="s">
        <v>1522</v>
      </c>
      <c r="D1016" t="s">
        <v>1820</v>
      </c>
      <c r="E1016" t="s">
        <v>2114</v>
      </c>
      <c r="F1016" t="s">
        <v>2117</v>
      </c>
      <c r="G1016" t="s">
        <v>2123</v>
      </c>
      <c r="H1016" t="s">
        <v>2134</v>
      </c>
      <c r="I1016" t="s">
        <v>2144</v>
      </c>
      <c r="J1016" t="s">
        <v>2147</v>
      </c>
      <c r="K1016" t="s">
        <v>2155</v>
      </c>
      <c r="L1016" s="3">
        <v>5</v>
      </c>
      <c r="M1016" s="2">
        <v>717.03</v>
      </c>
      <c r="N1016" s="5">
        <v>0.2</v>
      </c>
      <c r="O1016" s="2">
        <v>2868.12</v>
      </c>
      <c r="P1016" s="2">
        <v>600.41</v>
      </c>
      <c r="Q1016" t="s">
        <v>2169</v>
      </c>
    </row>
    <row r="1017" spans="1:17">
      <c r="A1017" t="s">
        <v>1032</v>
      </c>
      <c r="B1017" s="1">
        <v>45902</v>
      </c>
      <c r="C1017" t="s">
        <v>1729</v>
      </c>
      <c r="D1017" t="s">
        <v>2027</v>
      </c>
      <c r="E1017" t="s">
        <v>2114</v>
      </c>
      <c r="F1017" t="s">
        <v>2117</v>
      </c>
      <c r="G1017" t="s">
        <v>2123</v>
      </c>
      <c r="H1017" t="s">
        <v>2134</v>
      </c>
      <c r="I1017" t="s">
        <v>2144</v>
      </c>
      <c r="J1017" t="s">
        <v>2152</v>
      </c>
      <c r="K1017" t="s">
        <v>2166</v>
      </c>
      <c r="L1017" s="3">
        <v>2</v>
      </c>
      <c r="M1017" s="2">
        <v>612.04999999999995</v>
      </c>
      <c r="N1017" s="5">
        <v>0.1</v>
      </c>
      <c r="O1017" s="2">
        <v>1101.69</v>
      </c>
      <c r="P1017" s="2">
        <v>181.18</v>
      </c>
      <c r="Q1017" t="s">
        <v>2168</v>
      </c>
    </row>
    <row r="1018" spans="1:17">
      <c r="A1018" t="s">
        <v>1033</v>
      </c>
      <c r="B1018" s="1">
        <v>45903</v>
      </c>
      <c r="C1018" t="s">
        <v>1706</v>
      </c>
      <c r="D1018" t="s">
        <v>2004</v>
      </c>
      <c r="E1018" t="s">
        <v>2114</v>
      </c>
      <c r="F1018" t="s">
        <v>2119</v>
      </c>
      <c r="G1018" t="s">
        <v>2129</v>
      </c>
      <c r="H1018" t="s">
        <v>2139</v>
      </c>
      <c r="I1018" t="s">
        <v>2144</v>
      </c>
      <c r="J1018" t="s">
        <v>2152</v>
      </c>
      <c r="K1018" t="s">
        <v>2162</v>
      </c>
      <c r="L1018" s="3">
        <v>2</v>
      </c>
      <c r="M1018" s="2">
        <v>361.21</v>
      </c>
      <c r="N1018" s="5">
        <v>0.1</v>
      </c>
      <c r="O1018" s="2">
        <v>650.17999999999995</v>
      </c>
      <c r="P1018" s="2">
        <v>118.77</v>
      </c>
      <c r="Q1018" t="s">
        <v>2168</v>
      </c>
    </row>
    <row r="1019" spans="1:17">
      <c r="A1019" t="s">
        <v>1034</v>
      </c>
      <c r="B1019" s="1">
        <v>45903</v>
      </c>
      <c r="C1019" t="s">
        <v>1637</v>
      </c>
      <c r="D1019" t="s">
        <v>1935</v>
      </c>
      <c r="E1019" t="s">
        <v>2114</v>
      </c>
      <c r="F1019" t="s">
        <v>2119</v>
      </c>
      <c r="G1019" t="s">
        <v>2129</v>
      </c>
      <c r="H1019" t="s">
        <v>2139</v>
      </c>
      <c r="I1019" t="s">
        <v>2143</v>
      </c>
      <c r="J1019" t="s">
        <v>2149</v>
      </c>
      <c r="K1019" t="s">
        <v>2158</v>
      </c>
      <c r="L1019" s="3">
        <v>3</v>
      </c>
      <c r="M1019" s="2">
        <v>50178.94</v>
      </c>
      <c r="N1019" s="5">
        <v>0</v>
      </c>
      <c r="O1019" s="2">
        <v>150536.82</v>
      </c>
      <c r="P1019" s="2">
        <v>30284.99</v>
      </c>
      <c r="Q1019" t="s">
        <v>2168</v>
      </c>
    </row>
    <row r="1020" spans="1:17">
      <c r="A1020" t="s">
        <v>1035</v>
      </c>
      <c r="B1020" s="1">
        <v>45903</v>
      </c>
      <c r="C1020" t="s">
        <v>1629</v>
      </c>
      <c r="D1020" t="s">
        <v>1927</v>
      </c>
      <c r="E1020" t="s">
        <v>2113</v>
      </c>
      <c r="F1020" t="s">
        <v>2117</v>
      </c>
      <c r="G1020" t="s">
        <v>2121</v>
      </c>
      <c r="H1020" t="s">
        <v>2132</v>
      </c>
      <c r="I1020" t="s">
        <v>2143</v>
      </c>
      <c r="J1020" t="s">
        <v>2146</v>
      </c>
      <c r="K1020" t="s">
        <v>2164</v>
      </c>
      <c r="L1020" s="3">
        <v>1</v>
      </c>
      <c r="M1020" s="2">
        <v>17380.650000000001</v>
      </c>
      <c r="N1020" s="5">
        <v>0</v>
      </c>
      <c r="O1020" s="2">
        <v>17380.650000000001</v>
      </c>
      <c r="P1020" s="2">
        <v>2465.6</v>
      </c>
      <c r="Q1020" t="s">
        <v>2170</v>
      </c>
    </row>
    <row r="1021" spans="1:17">
      <c r="A1021" t="s">
        <v>1036</v>
      </c>
      <c r="B1021" s="1">
        <v>45903</v>
      </c>
      <c r="C1021" t="s">
        <v>1643</v>
      </c>
      <c r="D1021" t="s">
        <v>1941</v>
      </c>
      <c r="E1021" t="s">
        <v>2115</v>
      </c>
      <c r="F1021" t="s">
        <v>2116</v>
      </c>
      <c r="G1021" t="s">
        <v>2120</v>
      </c>
      <c r="H1021" t="s">
        <v>2131</v>
      </c>
      <c r="I1021" t="s">
        <v>2142</v>
      </c>
      <c r="J1021" t="s">
        <v>2145</v>
      </c>
      <c r="K1021" t="s">
        <v>2153</v>
      </c>
      <c r="L1021" s="3">
        <v>1</v>
      </c>
      <c r="M1021" s="2">
        <v>11447.91</v>
      </c>
      <c r="N1021" s="5">
        <v>0.05</v>
      </c>
      <c r="O1021" s="2">
        <v>10875.51</v>
      </c>
      <c r="P1021" s="2">
        <v>1953.59</v>
      </c>
      <c r="Q1021" t="s">
        <v>2169</v>
      </c>
    </row>
    <row r="1022" spans="1:17">
      <c r="A1022" t="s">
        <v>1037</v>
      </c>
      <c r="B1022" s="1">
        <v>45903</v>
      </c>
      <c r="C1022" t="s">
        <v>1596</v>
      </c>
      <c r="D1022" t="s">
        <v>1894</v>
      </c>
      <c r="E1022" t="s">
        <v>2114</v>
      </c>
      <c r="F1022" t="s">
        <v>2116</v>
      </c>
      <c r="G1022" t="s">
        <v>2120</v>
      </c>
      <c r="H1022" t="s">
        <v>2131</v>
      </c>
      <c r="I1022" t="s">
        <v>2143</v>
      </c>
      <c r="J1022" t="s">
        <v>2146</v>
      </c>
      <c r="K1022" t="s">
        <v>2164</v>
      </c>
      <c r="L1022" s="3">
        <v>2</v>
      </c>
      <c r="M1022" s="2">
        <v>18447.66</v>
      </c>
      <c r="N1022" s="5">
        <v>0.1</v>
      </c>
      <c r="O1022" s="2">
        <v>33205.79</v>
      </c>
      <c r="P1022" s="2">
        <v>2595.38</v>
      </c>
      <c r="Q1022" t="s">
        <v>2168</v>
      </c>
    </row>
    <row r="1023" spans="1:17">
      <c r="A1023" t="s">
        <v>1038</v>
      </c>
      <c r="B1023" s="1">
        <v>45903</v>
      </c>
      <c r="C1023" t="s">
        <v>1593</v>
      </c>
      <c r="D1023" t="s">
        <v>1891</v>
      </c>
      <c r="E1023" t="s">
        <v>2115</v>
      </c>
      <c r="F1023" t="s">
        <v>2119</v>
      </c>
      <c r="G1023" t="s">
        <v>2130</v>
      </c>
      <c r="H1023" t="s">
        <v>2141</v>
      </c>
      <c r="I1023" t="s">
        <v>2143</v>
      </c>
      <c r="J1023" t="s">
        <v>2148</v>
      </c>
      <c r="K1023" t="s">
        <v>2156</v>
      </c>
      <c r="L1023" s="3">
        <v>1</v>
      </c>
      <c r="M1023" s="2">
        <v>1157.9000000000001</v>
      </c>
      <c r="N1023" s="5">
        <v>0.15</v>
      </c>
      <c r="O1023" s="2">
        <v>984.22</v>
      </c>
      <c r="P1023" s="2">
        <v>149.46</v>
      </c>
      <c r="Q1023" t="s">
        <v>2167</v>
      </c>
    </row>
    <row r="1024" spans="1:17">
      <c r="A1024" t="s">
        <v>1039</v>
      </c>
      <c r="B1024" s="1">
        <v>45903</v>
      </c>
      <c r="C1024" t="s">
        <v>1535</v>
      </c>
      <c r="D1024" t="s">
        <v>1833</v>
      </c>
      <c r="E1024" t="s">
        <v>2114</v>
      </c>
      <c r="F1024" t="s">
        <v>2119</v>
      </c>
      <c r="G1024" t="s">
        <v>2129</v>
      </c>
      <c r="H1024" t="s">
        <v>2139</v>
      </c>
      <c r="I1024" t="s">
        <v>2143</v>
      </c>
      <c r="J1024" t="s">
        <v>2146</v>
      </c>
      <c r="K1024" t="s">
        <v>2164</v>
      </c>
      <c r="L1024" s="3">
        <v>2</v>
      </c>
      <c r="M1024" s="2">
        <v>17736.23</v>
      </c>
      <c r="N1024" s="5">
        <v>0.1</v>
      </c>
      <c r="O1024" s="2">
        <v>31925.21</v>
      </c>
      <c r="P1024" s="2">
        <v>4253.58</v>
      </c>
      <c r="Q1024" t="s">
        <v>2168</v>
      </c>
    </row>
    <row r="1025" spans="1:17">
      <c r="A1025" t="s">
        <v>1040</v>
      </c>
      <c r="B1025" s="1">
        <v>45904</v>
      </c>
      <c r="C1025" t="s">
        <v>1598</v>
      </c>
      <c r="D1025" t="s">
        <v>1896</v>
      </c>
      <c r="E1025" t="s">
        <v>2114</v>
      </c>
      <c r="F1025" t="s">
        <v>2116</v>
      </c>
      <c r="G1025" t="s">
        <v>2127</v>
      </c>
      <c r="H1025" t="s">
        <v>2138</v>
      </c>
      <c r="I1025" t="s">
        <v>2143</v>
      </c>
      <c r="J1025" t="s">
        <v>2148</v>
      </c>
      <c r="K1025" t="s">
        <v>2161</v>
      </c>
      <c r="L1025" s="3">
        <v>2</v>
      </c>
      <c r="M1025" s="2">
        <v>1765.15</v>
      </c>
      <c r="N1025" s="5">
        <v>0.15</v>
      </c>
      <c r="O1025" s="2">
        <v>3000.76</v>
      </c>
      <c r="P1025" s="2">
        <v>390.3</v>
      </c>
      <c r="Q1025" t="s">
        <v>2170</v>
      </c>
    </row>
    <row r="1026" spans="1:17">
      <c r="A1026" t="s">
        <v>1041</v>
      </c>
      <c r="B1026" s="1">
        <v>45904</v>
      </c>
      <c r="C1026" t="s">
        <v>1763</v>
      </c>
      <c r="D1026" t="s">
        <v>2061</v>
      </c>
      <c r="E1026" t="s">
        <v>2114</v>
      </c>
      <c r="F1026" t="s">
        <v>2118</v>
      </c>
      <c r="G1026" t="s">
        <v>2122</v>
      </c>
      <c r="H1026" t="s">
        <v>2133</v>
      </c>
      <c r="I1026" t="s">
        <v>2144</v>
      </c>
      <c r="J1026" t="s">
        <v>2150</v>
      </c>
      <c r="K1026" t="s">
        <v>2159</v>
      </c>
      <c r="L1026" s="3">
        <v>1</v>
      </c>
      <c r="M1026" s="2">
        <v>459.72</v>
      </c>
      <c r="N1026" s="5">
        <v>0</v>
      </c>
      <c r="O1026" s="2">
        <v>459.72</v>
      </c>
      <c r="P1026" s="2">
        <v>129.54</v>
      </c>
      <c r="Q1026" t="s">
        <v>2168</v>
      </c>
    </row>
    <row r="1027" spans="1:17">
      <c r="A1027" t="s">
        <v>1042</v>
      </c>
      <c r="B1027" s="1">
        <v>45904</v>
      </c>
      <c r="C1027" t="s">
        <v>1642</v>
      </c>
      <c r="D1027" t="s">
        <v>1940</v>
      </c>
      <c r="E1027" t="s">
        <v>2114</v>
      </c>
      <c r="F1027" t="s">
        <v>2116</v>
      </c>
      <c r="G1027" t="s">
        <v>2120</v>
      </c>
      <c r="H1027" t="s">
        <v>2131</v>
      </c>
      <c r="I1027" t="s">
        <v>2144</v>
      </c>
      <c r="J1027" t="s">
        <v>2147</v>
      </c>
      <c r="K1027" t="s">
        <v>2155</v>
      </c>
      <c r="L1027" s="3">
        <v>3</v>
      </c>
      <c r="M1027" s="2">
        <v>715.54</v>
      </c>
      <c r="N1027" s="5">
        <v>0.05</v>
      </c>
      <c r="O1027" s="2">
        <v>2039.29</v>
      </c>
      <c r="P1027" s="2">
        <v>436.18</v>
      </c>
      <c r="Q1027" t="s">
        <v>2170</v>
      </c>
    </row>
    <row r="1028" spans="1:17">
      <c r="A1028" t="s">
        <v>1043</v>
      </c>
      <c r="B1028" s="1">
        <v>45904</v>
      </c>
      <c r="C1028" t="s">
        <v>1708</v>
      </c>
      <c r="D1028" t="s">
        <v>2006</v>
      </c>
      <c r="E1028" t="s">
        <v>2115</v>
      </c>
      <c r="F1028" t="s">
        <v>2116</v>
      </c>
      <c r="G1028" t="s">
        <v>2127</v>
      </c>
      <c r="H1028" t="s">
        <v>2140</v>
      </c>
      <c r="I1028" t="s">
        <v>2143</v>
      </c>
      <c r="J1028" t="s">
        <v>2149</v>
      </c>
      <c r="K1028" t="s">
        <v>2158</v>
      </c>
      <c r="L1028" s="3">
        <v>2</v>
      </c>
      <c r="M1028" s="2">
        <v>45717.120000000003</v>
      </c>
      <c r="N1028" s="5">
        <v>0</v>
      </c>
      <c r="O1028" s="2">
        <v>91434.240000000005</v>
      </c>
      <c r="P1028" s="2">
        <v>18452.7</v>
      </c>
      <c r="Q1028" t="s">
        <v>2167</v>
      </c>
    </row>
    <row r="1029" spans="1:17">
      <c r="A1029" t="s">
        <v>1044</v>
      </c>
      <c r="B1029" s="1">
        <v>45904</v>
      </c>
      <c r="C1029" t="s">
        <v>1568</v>
      </c>
      <c r="D1029" t="s">
        <v>1866</v>
      </c>
      <c r="E1029" t="s">
        <v>2115</v>
      </c>
      <c r="F1029" t="s">
        <v>2118</v>
      </c>
      <c r="G1029" t="s">
        <v>2122</v>
      </c>
      <c r="H1029" t="s">
        <v>2133</v>
      </c>
      <c r="I1029" t="s">
        <v>2144</v>
      </c>
      <c r="J1029" t="s">
        <v>2150</v>
      </c>
      <c r="K1029" t="s">
        <v>2159</v>
      </c>
      <c r="L1029" s="3">
        <v>4</v>
      </c>
      <c r="M1029" s="2">
        <v>433.37</v>
      </c>
      <c r="N1029" s="5">
        <v>0</v>
      </c>
      <c r="O1029" s="2">
        <v>1733.48</v>
      </c>
      <c r="P1029" s="2">
        <v>598.26</v>
      </c>
      <c r="Q1029" t="s">
        <v>2167</v>
      </c>
    </row>
    <row r="1030" spans="1:17">
      <c r="A1030" t="s">
        <v>1045</v>
      </c>
      <c r="B1030" s="1">
        <v>45905</v>
      </c>
      <c r="C1030" t="s">
        <v>1679</v>
      </c>
      <c r="D1030" t="s">
        <v>1977</v>
      </c>
      <c r="E1030" t="s">
        <v>2114</v>
      </c>
      <c r="F1030" t="s">
        <v>2116</v>
      </c>
      <c r="G1030" t="s">
        <v>2127</v>
      </c>
      <c r="H1030" t="s">
        <v>2138</v>
      </c>
      <c r="I1030" t="s">
        <v>2143</v>
      </c>
      <c r="J1030" t="s">
        <v>2149</v>
      </c>
      <c r="K1030" t="s">
        <v>2163</v>
      </c>
      <c r="L1030" s="3">
        <v>5</v>
      </c>
      <c r="M1030" s="2">
        <v>62570.720000000001</v>
      </c>
      <c r="N1030" s="5">
        <v>0.1</v>
      </c>
      <c r="O1030" s="2">
        <v>281568.24</v>
      </c>
      <c r="P1030" s="2">
        <v>44075.92</v>
      </c>
      <c r="Q1030" t="s">
        <v>2170</v>
      </c>
    </row>
    <row r="1031" spans="1:17">
      <c r="A1031" t="s">
        <v>1046</v>
      </c>
      <c r="B1031" s="1">
        <v>45905</v>
      </c>
      <c r="C1031" t="s">
        <v>1734</v>
      </c>
      <c r="D1031" t="s">
        <v>2032</v>
      </c>
      <c r="E1031" t="s">
        <v>2114</v>
      </c>
      <c r="F1031" t="s">
        <v>2119</v>
      </c>
      <c r="G1031" t="s">
        <v>2129</v>
      </c>
      <c r="H1031" t="s">
        <v>2139</v>
      </c>
      <c r="I1031" t="s">
        <v>2143</v>
      </c>
      <c r="J1031" t="s">
        <v>2148</v>
      </c>
      <c r="K1031" t="s">
        <v>2156</v>
      </c>
      <c r="L1031" s="3">
        <v>1</v>
      </c>
      <c r="M1031" s="2">
        <v>1234.94</v>
      </c>
      <c r="N1031" s="5">
        <v>0</v>
      </c>
      <c r="O1031" s="2">
        <v>1234.94</v>
      </c>
      <c r="P1031" s="2">
        <v>143.51</v>
      </c>
      <c r="Q1031" t="s">
        <v>2167</v>
      </c>
    </row>
    <row r="1032" spans="1:17">
      <c r="A1032" t="s">
        <v>1047</v>
      </c>
      <c r="B1032" s="1">
        <v>45905</v>
      </c>
      <c r="C1032" t="s">
        <v>1792</v>
      </c>
      <c r="D1032" t="s">
        <v>2090</v>
      </c>
      <c r="E1032" t="s">
        <v>2114</v>
      </c>
      <c r="F1032" t="s">
        <v>2117</v>
      </c>
      <c r="G1032" t="s">
        <v>2121</v>
      </c>
      <c r="H1032" t="s">
        <v>2132</v>
      </c>
      <c r="I1032" t="s">
        <v>2142</v>
      </c>
      <c r="J1032" t="s">
        <v>2145</v>
      </c>
      <c r="K1032" t="s">
        <v>2165</v>
      </c>
      <c r="L1032" s="3">
        <v>3</v>
      </c>
      <c r="M1032" s="2">
        <v>6340.27</v>
      </c>
      <c r="N1032" s="5">
        <v>0.05</v>
      </c>
      <c r="O1032" s="2">
        <v>18069.77</v>
      </c>
      <c r="P1032" s="2">
        <v>3896.85</v>
      </c>
      <c r="Q1032" t="s">
        <v>2170</v>
      </c>
    </row>
    <row r="1033" spans="1:17">
      <c r="A1033" t="s">
        <v>1048</v>
      </c>
      <c r="B1033" s="1">
        <v>45905</v>
      </c>
      <c r="C1033" t="s">
        <v>1692</v>
      </c>
      <c r="D1033" t="s">
        <v>1990</v>
      </c>
      <c r="E1033" t="s">
        <v>2114</v>
      </c>
      <c r="F1033" t="s">
        <v>2116</v>
      </c>
      <c r="G1033" t="s">
        <v>2127</v>
      </c>
      <c r="H1033" t="s">
        <v>2138</v>
      </c>
      <c r="I1033" t="s">
        <v>2143</v>
      </c>
      <c r="J1033" t="s">
        <v>2149</v>
      </c>
      <c r="K1033" t="s">
        <v>2163</v>
      </c>
      <c r="L1033" s="3">
        <v>4</v>
      </c>
      <c r="M1033" s="2">
        <v>62958.57</v>
      </c>
      <c r="N1033" s="5">
        <v>0.1</v>
      </c>
      <c r="O1033" s="2">
        <v>226650.85</v>
      </c>
      <c r="P1033" s="2">
        <v>20186.759999999998</v>
      </c>
      <c r="Q1033" t="s">
        <v>2168</v>
      </c>
    </row>
    <row r="1034" spans="1:17">
      <c r="A1034" t="s">
        <v>1049</v>
      </c>
      <c r="B1034" s="1">
        <v>45905</v>
      </c>
      <c r="C1034" t="s">
        <v>1687</v>
      </c>
      <c r="D1034" t="s">
        <v>1985</v>
      </c>
      <c r="E1034" t="s">
        <v>2114</v>
      </c>
      <c r="F1034" t="s">
        <v>2116</v>
      </c>
      <c r="G1034" t="s">
        <v>2127</v>
      </c>
      <c r="H1034" t="s">
        <v>2140</v>
      </c>
      <c r="I1034" t="s">
        <v>2143</v>
      </c>
      <c r="J1034" t="s">
        <v>2146</v>
      </c>
      <c r="K1034" t="s">
        <v>2164</v>
      </c>
      <c r="L1034" s="3">
        <v>2</v>
      </c>
      <c r="M1034" s="2">
        <v>17483.55</v>
      </c>
      <c r="N1034" s="5">
        <v>0.1</v>
      </c>
      <c r="O1034" s="2">
        <v>31470.39</v>
      </c>
      <c r="P1034" s="2">
        <v>6335.02</v>
      </c>
      <c r="Q1034" t="s">
        <v>2169</v>
      </c>
    </row>
    <row r="1035" spans="1:17">
      <c r="A1035" t="s">
        <v>1050</v>
      </c>
      <c r="B1035" s="1">
        <v>45906</v>
      </c>
      <c r="C1035" t="s">
        <v>1638</v>
      </c>
      <c r="D1035" t="s">
        <v>1936</v>
      </c>
      <c r="E1035" t="s">
        <v>2114</v>
      </c>
      <c r="F1035" t="s">
        <v>2119</v>
      </c>
      <c r="G1035" t="s">
        <v>2124</v>
      </c>
      <c r="H1035" t="s">
        <v>2135</v>
      </c>
      <c r="I1035" t="s">
        <v>2143</v>
      </c>
      <c r="J1035" t="s">
        <v>2146</v>
      </c>
      <c r="K1035" t="s">
        <v>2164</v>
      </c>
      <c r="L1035" s="3">
        <v>1</v>
      </c>
      <c r="M1035" s="2">
        <v>17715.009999999998</v>
      </c>
      <c r="N1035" s="5">
        <v>0</v>
      </c>
      <c r="O1035" s="2">
        <v>17715.009999999998</v>
      </c>
      <c r="P1035" s="2">
        <v>2361.9</v>
      </c>
      <c r="Q1035" t="s">
        <v>2167</v>
      </c>
    </row>
    <row r="1036" spans="1:17">
      <c r="A1036" t="s">
        <v>1051</v>
      </c>
      <c r="B1036" s="1">
        <v>45906</v>
      </c>
      <c r="C1036" t="s">
        <v>1797</v>
      </c>
      <c r="D1036" t="s">
        <v>2095</v>
      </c>
      <c r="E1036" t="s">
        <v>2114</v>
      </c>
      <c r="F1036" t="s">
        <v>2118</v>
      </c>
      <c r="G1036" t="s">
        <v>2126</v>
      </c>
      <c r="H1036" t="s">
        <v>2137</v>
      </c>
      <c r="I1036" t="s">
        <v>2143</v>
      </c>
      <c r="J1036" t="s">
        <v>2149</v>
      </c>
      <c r="K1036" t="s">
        <v>2163</v>
      </c>
      <c r="L1036" s="3">
        <v>1</v>
      </c>
      <c r="M1036" s="2">
        <v>65022.21</v>
      </c>
      <c r="N1036" s="5">
        <v>0.05</v>
      </c>
      <c r="O1036" s="2">
        <v>61771.1</v>
      </c>
      <c r="P1036" s="2">
        <v>10572.98</v>
      </c>
      <c r="Q1036" t="s">
        <v>2168</v>
      </c>
    </row>
    <row r="1037" spans="1:17">
      <c r="A1037" t="s">
        <v>1052</v>
      </c>
      <c r="B1037" s="1">
        <v>45906</v>
      </c>
      <c r="C1037" t="s">
        <v>1790</v>
      </c>
      <c r="D1037" t="s">
        <v>2088</v>
      </c>
      <c r="E1037" t="s">
        <v>2113</v>
      </c>
      <c r="F1037" t="s">
        <v>2117</v>
      </c>
      <c r="G1037" t="s">
        <v>2123</v>
      </c>
      <c r="H1037" t="s">
        <v>2134</v>
      </c>
      <c r="I1037" t="s">
        <v>2142</v>
      </c>
      <c r="J1037" t="s">
        <v>2145</v>
      </c>
      <c r="K1037" t="s">
        <v>2165</v>
      </c>
      <c r="L1037" s="3">
        <v>2</v>
      </c>
      <c r="M1037" s="2">
        <v>6492.26</v>
      </c>
      <c r="N1037" s="5">
        <v>0</v>
      </c>
      <c r="O1037" s="2">
        <v>12984.52</v>
      </c>
      <c r="P1037" s="2">
        <v>3037.4</v>
      </c>
      <c r="Q1037" t="s">
        <v>2167</v>
      </c>
    </row>
    <row r="1038" spans="1:17">
      <c r="A1038" t="s">
        <v>1053</v>
      </c>
      <c r="B1038" s="1">
        <v>45906</v>
      </c>
      <c r="C1038" t="s">
        <v>1606</v>
      </c>
      <c r="D1038" t="s">
        <v>1904</v>
      </c>
      <c r="E1038" t="s">
        <v>2114</v>
      </c>
      <c r="F1038" t="s">
        <v>2117</v>
      </c>
      <c r="G1038" t="s">
        <v>2125</v>
      </c>
      <c r="H1038" t="s">
        <v>2136</v>
      </c>
      <c r="I1038" t="s">
        <v>2142</v>
      </c>
      <c r="J1038" t="s">
        <v>2151</v>
      </c>
      <c r="K1038" t="s">
        <v>2160</v>
      </c>
      <c r="L1038" s="3">
        <v>2</v>
      </c>
      <c r="M1038" s="2">
        <v>8247.43</v>
      </c>
      <c r="N1038" s="5">
        <v>0</v>
      </c>
      <c r="O1038" s="2">
        <v>16494.86</v>
      </c>
      <c r="P1038" s="2">
        <v>4614.12</v>
      </c>
      <c r="Q1038" t="s">
        <v>2168</v>
      </c>
    </row>
    <row r="1039" spans="1:17">
      <c r="A1039" t="s">
        <v>1054</v>
      </c>
      <c r="B1039" s="1">
        <v>45906</v>
      </c>
      <c r="C1039" t="s">
        <v>1811</v>
      </c>
      <c r="D1039" t="s">
        <v>2109</v>
      </c>
      <c r="E1039" t="s">
        <v>2113</v>
      </c>
      <c r="F1039" t="s">
        <v>2119</v>
      </c>
      <c r="G1039" t="s">
        <v>2129</v>
      </c>
      <c r="H1039" t="s">
        <v>2139</v>
      </c>
      <c r="I1039" t="s">
        <v>2142</v>
      </c>
      <c r="J1039" t="s">
        <v>2147</v>
      </c>
      <c r="K1039" t="s">
        <v>2157</v>
      </c>
      <c r="L1039" s="3">
        <v>1</v>
      </c>
      <c r="M1039" s="2">
        <v>14187.8</v>
      </c>
      <c r="N1039" s="5">
        <v>0.15</v>
      </c>
      <c r="O1039" s="2">
        <v>12059.63</v>
      </c>
      <c r="P1039" s="2">
        <v>2812.58</v>
      </c>
      <c r="Q1039" t="s">
        <v>2168</v>
      </c>
    </row>
    <row r="1040" spans="1:17">
      <c r="A1040" t="s">
        <v>1055</v>
      </c>
      <c r="B1040" s="1">
        <v>45906</v>
      </c>
      <c r="C1040" t="s">
        <v>1561</v>
      </c>
      <c r="D1040" t="s">
        <v>1859</v>
      </c>
      <c r="E1040" t="s">
        <v>2113</v>
      </c>
      <c r="F1040" t="s">
        <v>2119</v>
      </c>
      <c r="G1040" t="s">
        <v>2129</v>
      </c>
      <c r="H1040" t="s">
        <v>2139</v>
      </c>
      <c r="I1040" t="s">
        <v>2143</v>
      </c>
      <c r="J1040" t="s">
        <v>2146</v>
      </c>
      <c r="K1040" t="s">
        <v>2164</v>
      </c>
      <c r="L1040" s="3">
        <v>2</v>
      </c>
      <c r="M1040" s="2">
        <v>17203.36</v>
      </c>
      <c r="N1040" s="5">
        <v>0.05</v>
      </c>
      <c r="O1040" s="2">
        <v>32686.38</v>
      </c>
      <c r="P1040" s="2">
        <v>5145.6899999999996</v>
      </c>
      <c r="Q1040" t="s">
        <v>2169</v>
      </c>
    </row>
    <row r="1041" spans="1:17">
      <c r="A1041" t="s">
        <v>1056</v>
      </c>
      <c r="B1041" s="1">
        <v>45906</v>
      </c>
      <c r="C1041" t="s">
        <v>1653</v>
      </c>
      <c r="D1041" t="s">
        <v>1951</v>
      </c>
      <c r="E1041" t="s">
        <v>2114</v>
      </c>
      <c r="F1041" t="s">
        <v>2117</v>
      </c>
      <c r="G1041" t="s">
        <v>2123</v>
      </c>
      <c r="H1041" t="s">
        <v>2134</v>
      </c>
      <c r="I1041" t="s">
        <v>2142</v>
      </c>
      <c r="J1041" t="s">
        <v>2151</v>
      </c>
      <c r="K1041" t="s">
        <v>2160</v>
      </c>
      <c r="L1041" s="3">
        <v>2</v>
      </c>
      <c r="M1041" s="2">
        <v>8183.69</v>
      </c>
      <c r="N1041" s="5">
        <v>0</v>
      </c>
      <c r="O1041" s="2">
        <v>16367.38</v>
      </c>
      <c r="P1041" s="2">
        <v>3968.88</v>
      </c>
      <c r="Q1041" t="s">
        <v>2170</v>
      </c>
    </row>
    <row r="1042" spans="1:17">
      <c r="A1042" t="s">
        <v>1057</v>
      </c>
      <c r="B1042" s="1">
        <v>45906</v>
      </c>
      <c r="C1042" t="s">
        <v>1622</v>
      </c>
      <c r="D1042" t="s">
        <v>1920</v>
      </c>
      <c r="E1042" t="s">
        <v>2113</v>
      </c>
      <c r="F1042" t="s">
        <v>2119</v>
      </c>
      <c r="G1042" t="s">
        <v>2129</v>
      </c>
      <c r="H1042" t="s">
        <v>2139</v>
      </c>
      <c r="I1042" t="s">
        <v>2144</v>
      </c>
      <c r="J1042" t="s">
        <v>2150</v>
      </c>
      <c r="K1042" t="s">
        <v>2159</v>
      </c>
      <c r="L1042" s="3">
        <v>4</v>
      </c>
      <c r="M1042" s="2">
        <v>467.65</v>
      </c>
      <c r="N1042" s="5">
        <v>0.05</v>
      </c>
      <c r="O1042" s="2">
        <v>1777.07</v>
      </c>
      <c r="P1042" s="2">
        <v>413.16</v>
      </c>
      <c r="Q1042" t="s">
        <v>2170</v>
      </c>
    </row>
    <row r="1043" spans="1:17">
      <c r="A1043" t="s">
        <v>1058</v>
      </c>
      <c r="B1043" s="1">
        <v>45907</v>
      </c>
      <c r="C1043" t="s">
        <v>1763</v>
      </c>
      <c r="D1043" t="s">
        <v>2061</v>
      </c>
      <c r="E1043" t="s">
        <v>2114</v>
      </c>
      <c r="F1043" t="s">
        <v>2119</v>
      </c>
      <c r="G1043" t="s">
        <v>2129</v>
      </c>
      <c r="H1043" t="s">
        <v>2139</v>
      </c>
      <c r="I1043" t="s">
        <v>2143</v>
      </c>
      <c r="J1043" t="s">
        <v>2149</v>
      </c>
      <c r="K1043" t="s">
        <v>2163</v>
      </c>
      <c r="L1043" s="3">
        <v>1</v>
      </c>
      <c r="M1043" s="2">
        <v>64065.21</v>
      </c>
      <c r="N1043" s="5">
        <v>0.15</v>
      </c>
      <c r="O1043" s="2">
        <v>54455.43</v>
      </c>
      <c r="P1043" s="2">
        <v>8395.18</v>
      </c>
      <c r="Q1043" t="s">
        <v>2167</v>
      </c>
    </row>
    <row r="1044" spans="1:17">
      <c r="A1044" t="s">
        <v>1059</v>
      </c>
      <c r="B1044" s="1">
        <v>45908</v>
      </c>
      <c r="C1044" t="s">
        <v>1789</v>
      </c>
      <c r="D1044" t="s">
        <v>2087</v>
      </c>
      <c r="E1044" t="s">
        <v>2113</v>
      </c>
      <c r="F1044" t="s">
        <v>2119</v>
      </c>
      <c r="G1044" t="s">
        <v>2124</v>
      </c>
      <c r="H1044" t="s">
        <v>2135</v>
      </c>
      <c r="I1044" t="s">
        <v>2143</v>
      </c>
      <c r="J1044" t="s">
        <v>2146</v>
      </c>
      <c r="K1044" t="s">
        <v>2164</v>
      </c>
      <c r="L1044" s="3">
        <v>2</v>
      </c>
      <c r="M1044" s="2">
        <v>17409.75</v>
      </c>
      <c r="N1044" s="5">
        <v>0</v>
      </c>
      <c r="O1044" s="2">
        <v>34819.5</v>
      </c>
      <c r="P1044" s="2">
        <v>7069.32</v>
      </c>
      <c r="Q1044" t="s">
        <v>2168</v>
      </c>
    </row>
    <row r="1045" spans="1:17">
      <c r="A1045" t="s">
        <v>1060</v>
      </c>
      <c r="B1045" s="1">
        <v>45909</v>
      </c>
      <c r="C1045" t="s">
        <v>1770</v>
      </c>
      <c r="D1045" t="s">
        <v>2068</v>
      </c>
      <c r="E1045" t="s">
        <v>2114</v>
      </c>
      <c r="F1045" t="s">
        <v>2117</v>
      </c>
      <c r="G1045" t="s">
        <v>2123</v>
      </c>
      <c r="H1045" t="s">
        <v>2134</v>
      </c>
      <c r="I1045" t="s">
        <v>2144</v>
      </c>
      <c r="J1045" t="s">
        <v>2150</v>
      </c>
      <c r="K1045" t="s">
        <v>2159</v>
      </c>
      <c r="L1045" s="3">
        <v>1</v>
      </c>
      <c r="M1045" s="2">
        <v>435.33</v>
      </c>
      <c r="N1045" s="5">
        <v>0</v>
      </c>
      <c r="O1045" s="2">
        <v>435.33</v>
      </c>
      <c r="P1045" s="2">
        <v>131.54</v>
      </c>
      <c r="Q1045" t="s">
        <v>2170</v>
      </c>
    </row>
    <row r="1046" spans="1:17">
      <c r="A1046" t="s">
        <v>1061</v>
      </c>
      <c r="B1046" s="1">
        <v>45909</v>
      </c>
      <c r="C1046" t="s">
        <v>1669</v>
      </c>
      <c r="D1046" t="s">
        <v>1967</v>
      </c>
      <c r="E1046" t="s">
        <v>2113</v>
      </c>
      <c r="F1046" t="s">
        <v>2118</v>
      </c>
      <c r="G1046" t="s">
        <v>2122</v>
      </c>
      <c r="H1046" t="s">
        <v>2133</v>
      </c>
      <c r="I1046" t="s">
        <v>2143</v>
      </c>
      <c r="J1046" t="s">
        <v>2146</v>
      </c>
      <c r="K1046" t="s">
        <v>2164</v>
      </c>
      <c r="L1046" s="3">
        <v>3</v>
      </c>
      <c r="M1046" s="2">
        <v>18385.36</v>
      </c>
      <c r="N1046" s="5">
        <v>0.05</v>
      </c>
      <c r="O1046" s="2">
        <v>52398.28</v>
      </c>
      <c r="P1046" s="2">
        <v>9237.9500000000007</v>
      </c>
      <c r="Q1046" t="s">
        <v>2170</v>
      </c>
    </row>
    <row r="1047" spans="1:17">
      <c r="A1047" t="s">
        <v>1062</v>
      </c>
      <c r="B1047" s="1">
        <v>45909</v>
      </c>
      <c r="C1047" t="s">
        <v>1571</v>
      </c>
      <c r="D1047" t="s">
        <v>1869</v>
      </c>
      <c r="E1047" t="s">
        <v>2114</v>
      </c>
      <c r="F1047" t="s">
        <v>2117</v>
      </c>
      <c r="G1047" t="s">
        <v>2121</v>
      </c>
      <c r="H1047" t="s">
        <v>2132</v>
      </c>
      <c r="I1047" t="s">
        <v>2144</v>
      </c>
      <c r="J1047" t="s">
        <v>2150</v>
      </c>
      <c r="K1047" t="s">
        <v>2159</v>
      </c>
      <c r="L1047" s="3">
        <v>3</v>
      </c>
      <c r="M1047" s="2">
        <v>438.84</v>
      </c>
      <c r="N1047" s="5">
        <v>0.05</v>
      </c>
      <c r="O1047" s="2">
        <v>1250.69</v>
      </c>
      <c r="P1047" s="2">
        <v>261.8</v>
      </c>
      <c r="Q1047" t="s">
        <v>2168</v>
      </c>
    </row>
    <row r="1048" spans="1:17">
      <c r="A1048" t="s">
        <v>1063</v>
      </c>
      <c r="B1048" s="1">
        <v>45910</v>
      </c>
      <c r="C1048" t="s">
        <v>1797</v>
      </c>
      <c r="D1048" t="s">
        <v>2095</v>
      </c>
      <c r="E1048" t="s">
        <v>2113</v>
      </c>
      <c r="F1048" t="s">
        <v>2119</v>
      </c>
      <c r="G1048" t="s">
        <v>2124</v>
      </c>
      <c r="H1048" t="s">
        <v>2135</v>
      </c>
      <c r="I1048" t="s">
        <v>2144</v>
      </c>
      <c r="J1048" t="s">
        <v>2150</v>
      </c>
      <c r="K1048" t="s">
        <v>2159</v>
      </c>
      <c r="L1048" s="3">
        <v>2</v>
      </c>
      <c r="M1048" s="2">
        <v>471.09</v>
      </c>
      <c r="N1048" s="5">
        <v>0.1</v>
      </c>
      <c r="O1048" s="2">
        <v>847.96</v>
      </c>
      <c r="P1048" s="2">
        <v>217.66</v>
      </c>
      <c r="Q1048" t="s">
        <v>2169</v>
      </c>
    </row>
    <row r="1049" spans="1:17">
      <c r="A1049" t="s">
        <v>1064</v>
      </c>
      <c r="B1049" s="1">
        <v>45910</v>
      </c>
      <c r="C1049" t="s">
        <v>1696</v>
      </c>
      <c r="D1049" t="s">
        <v>1994</v>
      </c>
      <c r="E1049" t="s">
        <v>2114</v>
      </c>
      <c r="F1049" t="s">
        <v>2117</v>
      </c>
      <c r="G1049" t="s">
        <v>2123</v>
      </c>
      <c r="H1049" t="s">
        <v>2134</v>
      </c>
      <c r="I1049" t="s">
        <v>2143</v>
      </c>
      <c r="J1049" t="s">
        <v>2148</v>
      </c>
      <c r="K1049" t="s">
        <v>2161</v>
      </c>
      <c r="L1049" s="3">
        <v>3</v>
      </c>
      <c r="M1049" s="2">
        <v>1829.58</v>
      </c>
      <c r="N1049" s="5">
        <v>0.15</v>
      </c>
      <c r="O1049" s="2">
        <v>4665.43</v>
      </c>
      <c r="P1049" s="2">
        <v>312.18</v>
      </c>
      <c r="Q1049" t="s">
        <v>2168</v>
      </c>
    </row>
    <row r="1050" spans="1:17">
      <c r="A1050" t="s">
        <v>1065</v>
      </c>
      <c r="B1050" s="1">
        <v>45910</v>
      </c>
      <c r="C1050" t="s">
        <v>1666</v>
      </c>
      <c r="D1050" t="s">
        <v>1964</v>
      </c>
      <c r="E1050" t="s">
        <v>2114</v>
      </c>
      <c r="F1050" t="s">
        <v>2118</v>
      </c>
      <c r="G1050" t="s">
        <v>2126</v>
      </c>
      <c r="H1050" t="s">
        <v>2137</v>
      </c>
      <c r="I1050" t="s">
        <v>2143</v>
      </c>
      <c r="J1050" t="s">
        <v>2146</v>
      </c>
      <c r="K1050" t="s">
        <v>2164</v>
      </c>
      <c r="L1050" s="3">
        <v>1</v>
      </c>
      <c r="M1050" s="2">
        <v>18171.41</v>
      </c>
      <c r="N1050" s="5">
        <v>0.1</v>
      </c>
      <c r="O1050" s="2">
        <v>16354.27</v>
      </c>
      <c r="P1050" s="2">
        <v>2905.23</v>
      </c>
      <c r="Q1050" t="s">
        <v>2170</v>
      </c>
    </row>
    <row r="1051" spans="1:17">
      <c r="A1051" t="s">
        <v>1066</v>
      </c>
      <c r="B1051" s="1">
        <v>45911</v>
      </c>
      <c r="C1051" t="s">
        <v>1679</v>
      </c>
      <c r="D1051" t="s">
        <v>1977</v>
      </c>
      <c r="E1051" t="s">
        <v>2115</v>
      </c>
      <c r="F1051" t="s">
        <v>2119</v>
      </c>
      <c r="G1051" t="s">
        <v>2124</v>
      </c>
      <c r="H1051" t="s">
        <v>2135</v>
      </c>
      <c r="I1051" t="s">
        <v>2143</v>
      </c>
      <c r="J1051" t="s">
        <v>2149</v>
      </c>
      <c r="K1051" t="s">
        <v>2163</v>
      </c>
      <c r="L1051" s="3">
        <v>2</v>
      </c>
      <c r="M1051" s="2">
        <v>67516.42</v>
      </c>
      <c r="N1051" s="5">
        <v>0.05</v>
      </c>
      <c r="O1051" s="2">
        <v>128281.2</v>
      </c>
      <c r="P1051" s="2">
        <v>10286.790000000001</v>
      </c>
      <c r="Q1051" t="s">
        <v>2167</v>
      </c>
    </row>
    <row r="1052" spans="1:17">
      <c r="A1052" t="s">
        <v>1067</v>
      </c>
      <c r="B1052" s="1">
        <v>45911</v>
      </c>
      <c r="C1052" t="s">
        <v>1711</v>
      </c>
      <c r="D1052" t="s">
        <v>2009</v>
      </c>
      <c r="E1052" t="s">
        <v>2114</v>
      </c>
      <c r="F1052" t="s">
        <v>2119</v>
      </c>
      <c r="G1052" t="s">
        <v>2130</v>
      </c>
      <c r="H1052" t="s">
        <v>2141</v>
      </c>
      <c r="I1052" t="s">
        <v>2143</v>
      </c>
      <c r="J1052" t="s">
        <v>2146</v>
      </c>
      <c r="K1052" t="s">
        <v>2154</v>
      </c>
      <c r="L1052" s="3">
        <v>2</v>
      </c>
      <c r="M1052" s="2">
        <v>42617.1</v>
      </c>
      <c r="N1052" s="5">
        <v>0</v>
      </c>
      <c r="O1052" s="2">
        <v>85234.2</v>
      </c>
      <c r="P1052" s="2">
        <v>13433.02</v>
      </c>
      <c r="Q1052" t="s">
        <v>2168</v>
      </c>
    </row>
    <row r="1053" spans="1:17">
      <c r="A1053" t="s">
        <v>1068</v>
      </c>
      <c r="B1053" s="1">
        <v>45911</v>
      </c>
      <c r="C1053" t="s">
        <v>1683</v>
      </c>
      <c r="D1053" t="s">
        <v>1981</v>
      </c>
      <c r="E1053" t="s">
        <v>2114</v>
      </c>
      <c r="F1053" t="s">
        <v>2118</v>
      </c>
      <c r="G1053" t="s">
        <v>2126</v>
      </c>
      <c r="H1053" t="s">
        <v>2137</v>
      </c>
      <c r="I1053" t="s">
        <v>2143</v>
      </c>
      <c r="J1053" t="s">
        <v>2148</v>
      </c>
      <c r="K1053" t="s">
        <v>2156</v>
      </c>
      <c r="L1053" s="3">
        <v>2</v>
      </c>
      <c r="M1053" s="2">
        <v>1230.46</v>
      </c>
      <c r="N1053" s="5">
        <v>0.05</v>
      </c>
      <c r="O1053" s="2">
        <v>2337.87</v>
      </c>
      <c r="P1053" s="2">
        <v>174.24</v>
      </c>
      <c r="Q1053" t="s">
        <v>2167</v>
      </c>
    </row>
    <row r="1054" spans="1:17">
      <c r="A1054" t="s">
        <v>1069</v>
      </c>
      <c r="B1054" s="1">
        <v>45911</v>
      </c>
      <c r="C1054" t="s">
        <v>1552</v>
      </c>
      <c r="D1054" t="s">
        <v>1850</v>
      </c>
      <c r="E1054" t="s">
        <v>2114</v>
      </c>
      <c r="F1054" t="s">
        <v>2118</v>
      </c>
      <c r="G1054" t="s">
        <v>2126</v>
      </c>
      <c r="H1054" t="s">
        <v>2137</v>
      </c>
      <c r="I1054" t="s">
        <v>2142</v>
      </c>
      <c r="J1054" t="s">
        <v>2145</v>
      </c>
      <c r="K1054" t="s">
        <v>2165</v>
      </c>
      <c r="L1054" s="3">
        <v>1</v>
      </c>
      <c r="M1054" s="2">
        <v>6542.15</v>
      </c>
      <c r="N1054" s="5">
        <v>0</v>
      </c>
      <c r="O1054" s="2">
        <v>6542.15</v>
      </c>
      <c r="P1054" s="2">
        <v>1521.28</v>
      </c>
      <c r="Q1054" t="s">
        <v>2170</v>
      </c>
    </row>
    <row r="1055" spans="1:17">
      <c r="A1055" t="s">
        <v>1070</v>
      </c>
      <c r="B1055" s="1">
        <v>45911</v>
      </c>
      <c r="C1055" t="s">
        <v>1796</v>
      </c>
      <c r="D1055" t="s">
        <v>2094</v>
      </c>
      <c r="E1055" t="s">
        <v>2114</v>
      </c>
      <c r="F1055" t="s">
        <v>2118</v>
      </c>
      <c r="G1055" t="s">
        <v>2128</v>
      </c>
      <c r="H1055" t="s">
        <v>2128</v>
      </c>
      <c r="I1055" t="s">
        <v>2144</v>
      </c>
      <c r="J1055" t="s">
        <v>2147</v>
      </c>
      <c r="K1055" t="s">
        <v>2155</v>
      </c>
      <c r="L1055" s="3">
        <v>4</v>
      </c>
      <c r="M1055" s="2">
        <v>766.76</v>
      </c>
      <c r="N1055" s="5">
        <v>0.1</v>
      </c>
      <c r="O1055" s="2">
        <v>2760.34</v>
      </c>
      <c r="P1055" s="2">
        <v>428.38</v>
      </c>
      <c r="Q1055" t="s">
        <v>2170</v>
      </c>
    </row>
    <row r="1056" spans="1:17">
      <c r="A1056" t="s">
        <v>1071</v>
      </c>
      <c r="B1056" s="1">
        <v>45911</v>
      </c>
      <c r="C1056" t="s">
        <v>1778</v>
      </c>
      <c r="D1056" t="s">
        <v>2076</v>
      </c>
      <c r="E1056" t="s">
        <v>2115</v>
      </c>
      <c r="F1056" t="s">
        <v>2118</v>
      </c>
      <c r="G1056" t="s">
        <v>2128</v>
      </c>
      <c r="H1056" t="s">
        <v>2128</v>
      </c>
      <c r="I1056" t="s">
        <v>2144</v>
      </c>
      <c r="J1056" t="s">
        <v>2152</v>
      </c>
      <c r="K1056" t="s">
        <v>2166</v>
      </c>
      <c r="L1056" s="3">
        <v>3</v>
      </c>
      <c r="M1056" s="2">
        <v>612.98</v>
      </c>
      <c r="N1056" s="5">
        <v>0.15</v>
      </c>
      <c r="O1056" s="2">
        <v>1563.1</v>
      </c>
      <c r="P1056" s="2">
        <v>392.32</v>
      </c>
      <c r="Q1056" t="s">
        <v>2168</v>
      </c>
    </row>
    <row r="1057" spans="1:17">
      <c r="A1057" t="s">
        <v>1072</v>
      </c>
      <c r="B1057" s="1">
        <v>45912</v>
      </c>
      <c r="C1057" t="s">
        <v>1798</v>
      </c>
      <c r="D1057" t="s">
        <v>2096</v>
      </c>
      <c r="E1057" t="s">
        <v>2114</v>
      </c>
      <c r="F1057" t="s">
        <v>2118</v>
      </c>
      <c r="G1057" t="s">
        <v>2122</v>
      </c>
      <c r="H1057" t="s">
        <v>2133</v>
      </c>
      <c r="I1057" t="s">
        <v>2144</v>
      </c>
      <c r="J1057" t="s">
        <v>2147</v>
      </c>
      <c r="K1057" t="s">
        <v>2155</v>
      </c>
      <c r="L1057" s="3">
        <v>1</v>
      </c>
      <c r="M1057" s="2">
        <v>719.68</v>
      </c>
      <c r="N1057" s="5">
        <v>0.1</v>
      </c>
      <c r="O1057" s="2">
        <v>647.71</v>
      </c>
      <c r="P1057" s="2">
        <v>110.07</v>
      </c>
      <c r="Q1057" t="s">
        <v>2170</v>
      </c>
    </row>
    <row r="1058" spans="1:17">
      <c r="A1058" t="s">
        <v>1073</v>
      </c>
      <c r="B1058" s="1">
        <v>45912</v>
      </c>
      <c r="C1058" t="s">
        <v>1650</v>
      </c>
      <c r="D1058" t="s">
        <v>1948</v>
      </c>
      <c r="E1058" t="s">
        <v>2115</v>
      </c>
      <c r="F1058" t="s">
        <v>2119</v>
      </c>
      <c r="G1058" t="s">
        <v>2129</v>
      </c>
      <c r="H1058" t="s">
        <v>2139</v>
      </c>
      <c r="I1058" t="s">
        <v>2143</v>
      </c>
      <c r="J1058" t="s">
        <v>2149</v>
      </c>
      <c r="K1058" t="s">
        <v>2158</v>
      </c>
      <c r="L1058" s="3">
        <v>2</v>
      </c>
      <c r="M1058" s="2">
        <v>47608.24</v>
      </c>
      <c r="N1058" s="5">
        <v>0.15</v>
      </c>
      <c r="O1058" s="2">
        <v>80934.009999999995</v>
      </c>
      <c r="P1058" s="2">
        <v>8330.99</v>
      </c>
      <c r="Q1058" t="s">
        <v>2167</v>
      </c>
    </row>
    <row r="1059" spans="1:17">
      <c r="A1059" t="s">
        <v>1074</v>
      </c>
      <c r="B1059" s="1">
        <v>45912</v>
      </c>
      <c r="C1059" t="s">
        <v>1794</v>
      </c>
      <c r="D1059" t="s">
        <v>2092</v>
      </c>
      <c r="E1059" t="s">
        <v>2115</v>
      </c>
      <c r="F1059" t="s">
        <v>2119</v>
      </c>
      <c r="G1059" t="s">
        <v>2129</v>
      </c>
      <c r="H1059" t="s">
        <v>2139</v>
      </c>
      <c r="I1059" t="s">
        <v>2143</v>
      </c>
      <c r="J1059" t="s">
        <v>2148</v>
      </c>
      <c r="K1059" t="s">
        <v>2156</v>
      </c>
      <c r="L1059" s="3">
        <v>3</v>
      </c>
      <c r="M1059" s="2">
        <v>1199.93</v>
      </c>
      <c r="N1059" s="5">
        <v>0.1</v>
      </c>
      <c r="O1059" s="2">
        <v>3239.81</v>
      </c>
      <c r="P1059" s="2">
        <v>433.2</v>
      </c>
      <c r="Q1059" t="s">
        <v>2168</v>
      </c>
    </row>
    <row r="1060" spans="1:17">
      <c r="A1060" t="s">
        <v>1075</v>
      </c>
      <c r="B1060" s="1">
        <v>45912</v>
      </c>
      <c r="C1060" t="s">
        <v>1812</v>
      </c>
      <c r="D1060" t="s">
        <v>2110</v>
      </c>
      <c r="E1060" t="s">
        <v>2113</v>
      </c>
      <c r="F1060" t="s">
        <v>2116</v>
      </c>
      <c r="G1060" t="s">
        <v>2127</v>
      </c>
      <c r="H1060" t="s">
        <v>2138</v>
      </c>
      <c r="I1060" t="s">
        <v>2143</v>
      </c>
      <c r="J1060" t="s">
        <v>2146</v>
      </c>
      <c r="K1060" t="s">
        <v>2154</v>
      </c>
      <c r="L1060" s="3">
        <v>1</v>
      </c>
      <c r="M1060" s="2">
        <v>40293.64</v>
      </c>
      <c r="N1060" s="5">
        <v>0.1</v>
      </c>
      <c r="O1060" s="2">
        <v>36264.28</v>
      </c>
      <c r="P1060" s="2">
        <v>5604.39</v>
      </c>
      <c r="Q1060" t="s">
        <v>2168</v>
      </c>
    </row>
    <row r="1061" spans="1:17">
      <c r="A1061" t="s">
        <v>1076</v>
      </c>
      <c r="B1061" s="1">
        <v>45912</v>
      </c>
      <c r="C1061" t="s">
        <v>1669</v>
      </c>
      <c r="D1061" t="s">
        <v>1967</v>
      </c>
      <c r="E1061" t="s">
        <v>2114</v>
      </c>
      <c r="F1061" t="s">
        <v>2119</v>
      </c>
      <c r="G1061" t="s">
        <v>2124</v>
      </c>
      <c r="H1061" t="s">
        <v>2135</v>
      </c>
      <c r="I1061" t="s">
        <v>2142</v>
      </c>
      <c r="J1061" t="s">
        <v>2145</v>
      </c>
      <c r="K1061" t="s">
        <v>2165</v>
      </c>
      <c r="L1061" s="3">
        <v>1</v>
      </c>
      <c r="M1061" s="2">
        <v>6258.61</v>
      </c>
      <c r="N1061" s="5">
        <v>0.15</v>
      </c>
      <c r="O1061" s="2">
        <v>5319.82</v>
      </c>
      <c r="P1061" s="2">
        <v>775.36</v>
      </c>
      <c r="Q1061" t="s">
        <v>2170</v>
      </c>
    </row>
    <row r="1062" spans="1:17">
      <c r="A1062" t="s">
        <v>1077</v>
      </c>
      <c r="B1062" s="1">
        <v>45912</v>
      </c>
      <c r="C1062" t="s">
        <v>1639</v>
      </c>
      <c r="D1062" t="s">
        <v>1937</v>
      </c>
      <c r="E1062" t="s">
        <v>2114</v>
      </c>
      <c r="F1062" t="s">
        <v>2119</v>
      </c>
      <c r="G1062" t="s">
        <v>2129</v>
      </c>
      <c r="H1062" t="s">
        <v>2139</v>
      </c>
      <c r="I1062" t="s">
        <v>2143</v>
      </c>
      <c r="J1062" t="s">
        <v>2149</v>
      </c>
      <c r="K1062" t="s">
        <v>2163</v>
      </c>
      <c r="L1062" s="3">
        <v>4</v>
      </c>
      <c r="M1062" s="2">
        <v>66256.86</v>
      </c>
      <c r="N1062" s="5">
        <v>0</v>
      </c>
      <c r="O1062" s="2">
        <v>265027.44</v>
      </c>
      <c r="P1062" s="2">
        <v>47445.53</v>
      </c>
      <c r="Q1062" t="s">
        <v>2170</v>
      </c>
    </row>
    <row r="1063" spans="1:17">
      <c r="A1063" t="s">
        <v>1078</v>
      </c>
      <c r="B1063" s="1">
        <v>45913</v>
      </c>
      <c r="C1063" t="s">
        <v>1783</v>
      </c>
      <c r="D1063" t="s">
        <v>2081</v>
      </c>
      <c r="E1063" t="s">
        <v>2114</v>
      </c>
      <c r="F1063" t="s">
        <v>2118</v>
      </c>
      <c r="G1063" t="s">
        <v>2126</v>
      </c>
      <c r="H1063" t="s">
        <v>2137</v>
      </c>
      <c r="I1063" t="s">
        <v>2143</v>
      </c>
      <c r="J1063" t="s">
        <v>2149</v>
      </c>
      <c r="K1063" t="s">
        <v>2158</v>
      </c>
      <c r="L1063" s="3">
        <v>5</v>
      </c>
      <c r="M1063" s="2">
        <v>47179.86</v>
      </c>
      <c r="N1063" s="5">
        <v>0.2</v>
      </c>
      <c r="O1063" s="2">
        <v>188719.44</v>
      </c>
      <c r="P1063" s="2">
        <v>15888.54</v>
      </c>
      <c r="Q1063" t="s">
        <v>2168</v>
      </c>
    </row>
    <row r="1064" spans="1:17">
      <c r="A1064" t="s">
        <v>1079</v>
      </c>
      <c r="B1064" s="1">
        <v>45913</v>
      </c>
      <c r="C1064" t="s">
        <v>1566</v>
      </c>
      <c r="D1064" t="s">
        <v>1864</v>
      </c>
      <c r="E1064" t="s">
        <v>2113</v>
      </c>
      <c r="F1064" t="s">
        <v>2119</v>
      </c>
      <c r="G1064" t="s">
        <v>2130</v>
      </c>
      <c r="H1064" t="s">
        <v>2141</v>
      </c>
      <c r="I1064" t="s">
        <v>2144</v>
      </c>
      <c r="J1064" t="s">
        <v>2150</v>
      </c>
      <c r="K1064" t="s">
        <v>2159</v>
      </c>
      <c r="L1064" s="3">
        <v>1</v>
      </c>
      <c r="M1064" s="2">
        <v>434.17</v>
      </c>
      <c r="N1064" s="5">
        <v>0.2</v>
      </c>
      <c r="O1064" s="2">
        <v>347.34</v>
      </c>
      <c r="P1064" s="2">
        <v>88.46</v>
      </c>
      <c r="Q1064" t="s">
        <v>2168</v>
      </c>
    </row>
    <row r="1065" spans="1:17">
      <c r="A1065" t="s">
        <v>1080</v>
      </c>
      <c r="B1065" s="1">
        <v>45913</v>
      </c>
      <c r="C1065" t="s">
        <v>1767</v>
      </c>
      <c r="D1065" t="s">
        <v>2065</v>
      </c>
      <c r="E1065" t="s">
        <v>2114</v>
      </c>
      <c r="F1065" t="s">
        <v>2119</v>
      </c>
      <c r="G1065" t="s">
        <v>2130</v>
      </c>
      <c r="H1065" t="s">
        <v>2141</v>
      </c>
      <c r="I1065" t="s">
        <v>2142</v>
      </c>
      <c r="J1065" t="s">
        <v>2147</v>
      </c>
      <c r="K1065" t="s">
        <v>2157</v>
      </c>
      <c r="L1065" s="3">
        <v>1</v>
      </c>
      <c r="M1065" s="2">
        <v>14798.93</v>
      </c>
      <c r="N1065" s="5">
        <v>0.15</v>
      </c>
      <c r="O1065" s="2">
        <v>12579.09</v>
      </c>
      <c r="P1065" s="2">
        <v>1880.06</v>
      </c>
      <c r="Q1065" t="s">
        <v>2168</v>
      </c>
    </row>
    <row r="1066" spans="1:17">
      <c r="A1066" t="s">
        <v>1081</v>
      </c>
      <c r="B1066" s="1">
        <v>45914</v>
      </c>
      <c r="C1066" t="s">
        <v>1580</v>
      </c>
      <c r="D1066" t="s">
        <v>1878</v>
      </c>
      <c r="E1066" t="s">
        <v>2113</v>
      </c>
      <c r="F1066" t="s">
        <v>2117</v>
      </c>
      <c r="G1066" t="s">
        <v>2121</v>
      </c>
      <c r="H1066" t="s">
        <v>2132</v>
      </c>
      <c r="I1066" t="s">
        <v>2143</v>
      </c>
      <c r="J1066" t="s">
        <v>2149</v>
      </c>
      <c r="K1066" t="s">
        <v>2163</v>
      </c>
      <c r="L1066" s="3">
        <v>1</v>
      </c>
      <c r="M1066" s="2">
        <v>66683.06</v>
      </c>
      <c r="N1066" s="5">
        <v>0.15</v>
      </c>
      <c r="O1066" s="2">
        <v>56680.6</v>
      </c>
      <c r="P1066" s="2">
        <v>5135.01</v>
      </c>
      <c r="Q1066" t="s">
        <v>2170</v>
      </c>
    </row>
    <row r="1067" spans="1:17">
      <c r="A1067" t="s">
        <v>1082</v>
      </c>
      <c r="B1067" s="1">
        <v>45914</v>
      </c>
      <c r="C1067" t="s">
        <v>1680</v>
      </c>
      <c r="D1067" t="s">
        <v>1978</v>
      </c>
      <c r="E1067" t="s">
        <v>2114</v>
      </c>
      <c r="F1067" t="s">
        <v>2117</v>
      </c>
      <c r="G1067" t="s">
        <v>2121</v>
      </c>
      <c r="H1067" t="s">
        <v>2132</v>
      </c>
      <c r="I1067" t="s">
        <v>2144</v>
      </c>
      <c r="J1067" t="s">
        <v>2152</v>
      </c>
      <c r="K1067" t="s">
        <v>2162</v>
      </c>
      <c r="L1067" s="3">
        <v>1</v>
      </c>
      <c r="M1067" s="2">
        <v>357.91</v>
      </c>
      <c r="N1067" s="5">
        <v>0</v>
      </c>
      <c r="O1067" s="2">
        <v>357.91</v>
      </c>
      <c r="P1067" s="2">
        <v>62.37</v>
      </c>
      <c r="Q1067" t="s">
        <v>2170</v>
      </c>
    </row>
    <row r="1068" spans="1:17">
      <c r="A1068" t="s">
        <v>1083</v>
      </c>
      <c r="B1068" s="1">
        <v>45914</v>
      </c>
      <c r="C1068" t="s">
        <v>1747</v>
      </c>
      <c r="D1068" t="s">
        <v>2045</v>
      </c>
      <c r="E1068" t="s">
        <v>2113</v>
      </c>
      <c r="F1068" t="s">
        <v>2117</v>
      </c>
      <c r="G1068" t="s">
        <v>2125</v>
      </c>
      <c r="H1068" t="s">
        <v>2136</v>
      </c>
      <c r="I1068" t="s">
        <v>2143</v>
      </c>
      <c r="J1068" t="s">
        <v>2146</v>
      </c>
      <c r="K1068" t="s">
        <v>2164</v>
      </c>
      <c r="L1068" s="3">
        <v>5</v>
      </c>
      <c r="M1068" s="2">
        <v>18174.810000000001</v>
      </c>
      <c r="N1068" s="5">
        <v>0</v>
      </c>
      <c r="O1068" s="2">
        <v>90874.05</v>
      </c>
      <c r="P1068" s="2">
        <v>12666.56</v>
      </c>
      <c r="Q1068" t="s">
        <v>2167</v>
      </c>
    </row>
    <row r="1069" spans="1:17">
      <c r="A1069" t="s">
        <v>1084</v>
      </c>
      <c r="B1069" s="1">
        <v>45914</v>
      </c>
      <c r="C1069" t="s">
        <v>1550</v>
      </c>
      <c r="D1069" t="s">
        <v>1848</v>
      </c>
      <c r="E1069" t="s">
        <v>2114</v>
      </c>
      <c r="F1069" t="s">
        <v>2119</v>
      </c>
      <c r="G1069" t="s">
        <v>2124</v>
      </c>
      <c r="H1069" t="s">
        <v>2135</v>
      </c>
      <c r="I1069" t="s">
        <v>2142</v>
      </c>
      <c r="J1069" t="s">
        <v>2145</v>
      </c>
      <c r="K1069" t="s">
        <v>2165</v>
      </c>
      <c r="L1069" s="3">
        <v>1</v>
      </c>
      <c r="M1069" s="2">
        <v>6769.44</v>
      </c>
      <c r="N1069" s="5">
        <v>0.05</v>
      </c>
      <c r="O1069" s="2">
        <v>6430.97</v>
      </c>
      <c r="P1069" s="2">
        <v>795</v>
      </c>
      <c r="Q1069" t="s">
        <v>2167</v>
      </c>
    </row>
    <row r="1070" spans="1:17">
      <c r="A1070" t="s">
        <v>1085</v>
      </c>
      <c r="B1070" s="1">
        <v>45914</v>
      </c>
      <c r="C1070" t="s">
        <v>1704</v>
      </c>
      <c r="D1070" t="s">
        <v>2002</v>
      </c>
      <c r="E1070" t="s">
        <v>2114</v>
      </c>
      <c r="F1070" t="s">
        <v>2119</v>
      </c>
      <c r="G1070" t="s">
        <v>2129</v>
      </c>
      <c r="H1070" t="s">
        <v>2139</v>
      </c>
      <c r="I1070" t="s">
        <v>2142</v>
      </c>
      <c r="J1070" t="s">
        <v>2151</v>
      </c>
      <c r="K1070" t="s">
        <v>2160</v>
      </c>
      <c r="L1070" s="3">
        <v>2</v>
      </c>
      <c r="M1070" s="2">
        <v>8403.3700000000008</v>
      </c>
      <c r="N1070" s="5">
        <v>0.2</v>
      </c>
      <c r="O1070" s="2">
        <v>13445.39</v>
      </c>
      <c r="P1070" s="2">
        <v>2299.62</v>
      </c>
      <c r="Q1070" t="s">
        <v>2169</v>
      </c>
    </row>
    <row r="1071" spans="1:17">
      <c r="A1071" t="s">
        <v>1086</v>
      </c>
      <c r="B1071" s="1">
        <v>45914</v>
      </c>
      <c r="C1071" t="s">
        <v>1561</v>
      </c>
      <c r="D1071" t="s">
        <v>1859</v>
      </c>
      <c r="E1071" t="s">
        <v>2114</v>
      </c>
      <c r="F1071" t="s">
        <v>2118</v>
      </c>
      <c r="G1071" t="s">
        <v>2128</v>
      </c>
      <c r="H1071" t="s">
        <v>2128</v>
      </c>
      <c r="I1071" t="s">
        <v>2142</v>
      </c>
      <c r="J1071" t="s">
        <v>2145</v>
      </c>
      <c r="K1071" t="s">
        <v>2165</v>
      </c>
      <c r="L1071" s="3">
        <v>3</v>
      </c>
      <c r="M1071" s="2">
        <v>6819.66</v>
      </c>
      <c r="N1071" s="5">
        <v>0.05</v>
      </c>
      <c r="O1071" s="2">
        <v>19436.03</v>
      </c>
      <c r="P1071" s="2">
        <v>2865.19</v>
      </c>
      <c r="Q1071" t="s">
        <v>2167</v>
      </c>
    </row>
    <row r="1072" spans="1:17">
      <c r="A1072" t="s">
        <v>1087</v>
      </c>
      <c r="B1072" s="1">
        <v>45914</v>
      </c>
      <c r="C1072" t="s">
        <v>1643</v>
      </c>
      <c r="D1072" t="s">
        <v>1941</v>
      </c>
      <c r="E1072" t="s">
        <v>2114</v>
      </c>
      <c r="F1072" t="s">
        <v>2119</v>
      </c>
      <c r="G1072" t="s">
        <v>2130</v>
      </c>
      <c r="H1072" t="s">
        <v>2141</v>
      </c>
      <c r="I1072" t="s">
        <v>2144</v>
      </c>
      <c r="J1072" t="s">
        <v>2152</v>
      </c>
      <c r="K1072" t="s">
        <v>2166</v>
      </c>
      <c r="L1072" s="3">
        <v>3</v>
      </c>
      <c r="M1072" s="2">
        <v>623.44000000000005</v>
      </c>
      <c r="N1072" s="5">
        <v>0.1</v>
      </c>
      <c r="O1072" s="2">
        <v>1683.29</v>
      </c>
      <c r="P1072" s="2">
        <v>434.83</v>
      </c>
      <c r="Q1072" t="s">
        <v>2167</v>
      </c>
    </row>
    <row r="1073" spans="1:17">
      <c r="A1073" t="s">
        <v>1088</v>
      </c>
      <c r="B1073" s="1">
        <v>45915</v>
      </c>
      <c r="C1073" t="s">
        <v>1618</v>
      </c>
      <c r="D1073" t="s">
        <v>1916</v>
      </c>
      <c r="E1073" t="s">
        <v>2115</v>
      </c>
      <c r="F1073" t="s">
        <v>2116</v>
      </c>
      <c r="G1073" t="s">
        <v>2127</v>
      </c>
      <c r="H1073" t="s">
        <v>2138</v>
      </c>
      <c r="I1073" t="s">
        <v>2142</v>
      </c>
      <c r="J1073" t="s">
        <v>2145</v>
      </c>
      <c r="K1073" t="s">
        <v>2165</v>
      </c>
      <c r="L1073" s="3">
        <v>2</v>
      </c>
      <c r="M1073" s="2">
        <v>6384.44</v>
      </c>
      <c r="N1073" s="5">
        <v>0.15</v>
      </c>
      <c r="O1073" s="2">
        <v>10853.55</v>
      </c>
      <c r="P1073" s="2">
        <v>1164.04</v>
      </c>
      <c r="Q1073" t="s">
        <v>2169</v>
      </c>
    </row>
    <row r="1074" spans="1:17">
      <c r="A1074" t="s">
        <v>1089</v>
      </c>
      <c r="B1074" s="1">
        <v>45915</v>
      </c>
      <c r="C1074" t="s">
        <v>1673</v>
      </c>
      <c r="D1074" t="s">
        <v>1971</v>
      </c>
      <c r="E1074" t="s">
        <v>2113</v>
      </c>
      <c r="F1074" t="s">
        <v>2116</v>
      </c>
      <c r="G1074" t="s">
        <v>2127</v>
      </c>
      <c r="H1074" t="s">
        <v>2140</v>
      </c>
      <c r="I1074" t="s">
        <v>2143</v>
      </c>
      <c r="J1074" t="s">
        <v>2149</v>
      </c>
      <c r="K1074" t="s">
        <v>2163</v>
      </c>
      <c r="L1074" s="3">
        <v>3</v>
      </c>
      <c r="M1074" s="2">
        <v>64672.31</v>
      </c>
      <c r="N1074" s="5">
        <v>0.1</v>
      </c>
      <c r="O1074" s="2">
        <v>174615.24</v>
      </c>
      <c r="P1074" s="2">
        <v>30482.43</v>
      </c>
      <c r="Q1074" t="s">
        <v>2169</v>
      </c>
    </row>
    <row r="1075" spans="1:17">
      <c r="A1075" t="s">
        <v>1090</v>
      </c>
      <c r="B1075" s="1">
        <v>45915</v>
      </c>
      <c r="C1075" t="s">
        <v>1695</v>
      </c>
      <c r="D1075" t="s">
        <v>1993</v>
      </c>
      <c r="E1075" t="s">
        <v>2115</v>
      </c>
      <c r="F1075" t="s">
        <v>2119</v>
      </c>
      <c r="G1075" t="s">
        <v>2130</v>
      </c>
      <c r="H1075" t="s">
        <v>2141</v>
      </c>
      <c r="I1075" t="s">
        <v>2143</v>
      </c>
      <c r="J1075" t="s">
        <v>2149</v>
      </c>
      <c r="K1075" t="s">
        <v>2158</v>
      </c>
      <c r="L1075" s="3">
        <v>1</v>
      </c>
      <c r="M1075" s="2">
        <v>48663.48</v>
      </c>
      <c r="N1075" s="5">
        <v>0.05</v>
      </c>
      <c r="O1075" s="2">
        <v>46230.31</v>
      </c>
      <c r="P1075" s="2">
        <v>5196.12</v>
      </c>
      <c r="Q1075" t="s">
        <v>2167</v>
      </c>
    </row>
    <row r="1076" spans="1:17">
      <c r="A1076" t="s">
        <v>1091</v>
      </c>
      <c r="B1076" s="1">
        <v>45915</v>
      </c>
      <c r="C1076" t="s">
        <v>1691</v>
      </c>
      <c r="D1076" t="s">
        <v>1989</v>
      </c>
      <c r="E1076" t="s">
        <v>2114</v>
      </c>
      <c r="F1076" t="s">
        <v>2117</v>
      </c>
      <c r="G1076" t="s">
        <v>2123</v>
      </c>
      <c r="H1076" t="s">
        <v>2134</v>
      </c>
      <c r="I1076" t="s">
        <v>2143</v>
      </c>
      <c r="J1076" t="s">
        <v>2149</v>
      </c>
      <c r="K1076" t="s">
        <v>2158</v>
      </c>
      <c r="L1076" s="3">
        <v>1</v>
      </c>
      <c r="M1076" s="2">
        <v>48069.94</v>
      </c>
      <c r="N1076" s="5">
        <v>0.1</v>
      </c>
      <c r="O1076" s="2">
        <v>43262.95</v>
      </c>
      <c r="P1076" s="2">
        <v>3895.04</v>
      </c>
      <c r="Q1076" t="s">
        <v>2170</v>
      </c>
    </row>
    <row r="1077" spans="1:17">
      <c r="A1077" t="s">
        <v>1092</v>
      </c>
      <c r="B1077" s="1">
        <v>45916</v>
      </c>
      <c r="C1077" t="s">
        <v>1632</v>
      </c>
      <c r="D1077" t="s">
        <v>1930</v>
      </c>
      <c r="E1077" t="s">
        <v>2113</v>
      </c>
      <c r="F1077" t="s">
        <v>2117</v>
      </c>
      <c r="G1077" t="s">
        <v>2121</v>
      </c>
      <c r="H1077" t="s">
        <v>2132</v>
      </c>
      <c r="I1077" t="s">
        <v>2144</v>
      </c>
      <c r="J1077" t="s">
        <v>2147</v>
      </c>
      <c r="K1077" t="s">
        <v>2155</v>
      </c>
      <c r="L1077" s="3">
        <v>1</v>
      </c>
      <c r="M1077" s="2">
        <v>768.56</v>
      </c>
      <c r="N1077" s="5">
        <v>0.1</v>
      </c>
      <c r="O1077" s="2">
        <v>691.7</v>
      </c>
      <c r="P1077" s="2">
        <v>142.01</v>
      </c>
      <c r="Q1077" t="s">
        <v>2170</v>
      </c>
    </row>
    <row r="1078" spans="1:17">
      <c r="A1078" t="s">
        <v>1093</v>
      </c>
      <c r="B1078" s="1">
        <v>45916</v>
      </c>
      <c r="C1078" t="s">
        <v>1535</v>
      </c>
      <c r="D1078" t="s">
        <v>1833</v>
      </c>
      <c r="E1078" t="s">
        <v>2113</v>
      </c>
      <c r="F1078" t="s">
        <v>2118</v>
      </c>
      <c r="G1078" t="s">
        <v>2122</v>
      </c>
      <c r="H1078" t="s">
        <v>2133</v>
      </c>
      <c r="I1078" t="s">
        <v>2143</v>
      </c>
      <c r="J1078" t="s">
        <v>2146</v>
      </c>
      <c r="K1078" t="s">
        <v>2164</v>
      </c>
      <c r="L1078" s="3">
        <v>3</v>
      </c>
      <c r="M1078" s="2">
        <v>17487.830000000002</v>
      </c>
      <c r="N1078" s="5">
        <v>0.15</v>
      </c>
      <c r="O1078" s="2">
        <v>44593.97</v>
      </c>
      <c r="P1078" s="2">
        <v>2226.79</v>
      </c>
      <c r="Q1078" t="s">
        <v>2167</v>
      </c>
    </row>
    <row r="1079" spans="1:17">
      <c r="A1079" t="s">
        <v>1094</v>
      </c>
      <c r="B1079" s="1">
        <v>45916</v>
      </c>
      <c r="C1079" t="s">
        <v>1552</v>
      </c>
      <c r="D1079" t="s">
        <v>1850</v>
      </c>
      <c r="E1079" t="s">
        <v>2113</v>
      </c>
      <c r="F1079" t="s">
        <v>2117</v>
      </c>
      <c r="G1079" t="s">
        <v>2123</v>
      </c>
      <c r="H1079" t="s">
        <v>2134</v>
      </c>
      <c r="I1079" t="s">
        <v>2144</v>
      </c>
      <c r="J1079" t="s">
        <v>2152</v>
      </c>
      <c r="K1079" t="s">
        <v>2162</v>
      </c>
      <c r="L1079" s="3">
        <v>3</v>
      </c>
      <c r="M1079" s="2">
        <v>350.21</v>
      </c>
      <c r="N1079" s="5">
        <v>0</v>
      </c>
      <c r="O1079" s="2">
        <v>1050.6300000000001</v>
      </c>
      <c r="P1079" s="2">
        <v>353.43</v>
      </c>
      <c r="Q1079" t="s">
        <v>2167</v>
      </c>
    </row>
    <row r="1080" spans="1:17">
      <c r="A1080" t="s">
        <v>1095</v>
      </c>
      <c r="B1080" s="1">
        <v>45916</v>
      </c>
      <c r="C1080" t="s">
        <v>1813</v>
      </c>
      <c r="D1080" t="s">
        <v>2111</v>
      </c>
      <c r="E1080" t="s">
        <v>2113</v>
      </c>
      <c r="F1080" t="s">
        <v>2116</v>
      </c>
      <c r="G1080" t="s">
        <v>2127</v>
      </c>
      <c r="H1080" t="s">
        <v>2138</v>
      </c>
      <c r="I1080" t="s">
        <v>2142</v>
      </c>
      <c r="J1080" t="s">
        <v>2151</v>
      </c>
      <c r="K1080" t="s">
        <v>2160</v>
      </c>
      <c r="L1080" s="3">
        <v>2</v>
      </c>
      <c r="M1080" s="2">
        <v>8522.5400000000009</v>
      </c>
      <c r="N1080" s="5">
        <v>0</v>
      </c>
      <c r="O1080" s="2">
        <v>17045.080000000002</v>
      </c>
      <c r="P1080" s="2">
        <v>3124.67</v>
      </c>
      <c r="Q1080" t="s">
        <v>2170</v>
      </c>
    </row>
    <row r="1081" spans="1:17">
      <c r="A1081" t="s">
        <v>1096</v>
      </c>
      <c r="B1081" s="1">
        <v>45917</v>
      </c>
      <c r="C1081" t="s">
        <v>1643</v>
      </c>
      <c r="D1081" t="s">
        <v>1941</v>
      </c>
      <c r="E1081" t="s">
        <v>2115</v>
      </c>
      <c r="F1081" t="s">
        <v>2116</v>
      </c>
      <c r="G1081" t="s">
        <v>2127</v>
      </c>
      <c r="H1081" t="s">
        <v>2138</v>
      </c>
      <c r="I1081" t="s">
        <v>2142</v>
      </c>
      <c r="J1081" t="s">
        <v>2145</v>
      </c>
      <c r="K1081" t="s">
        <v>2165</v>
      </c>
      <c r="L1081" s="3">
        <v>2</v>
      </c>
      <c r="M1081" s="2">
        <v>6179.73</v>
      </c>
      <c r="N1081" s="5">
        <v>0.05</v>
      </c>
      <c r="O1081" s="2">
        <v>11741.49</v>
      </c>
      <c r="P1081" s="2">
        <v>1401.76</v>
      </c>
      <c r="Q1081" t="s">
        <v>2170</v>
      </c>
    </row>
    <row r="1082" spans="1:17">
      <c r="A1082" t="s">
        <v>1097</v>
      </c>
      <c r="B1082" s="1">
        <v>45917</v>
      </c>
      <c r="C1082" t="s">
        <v>1574</v>
      </c>
      <c r="D1082" t="s">
        <v>1872</v>
      </c>
      <c r="E1082" t="s">
        <v>2115</v>
      </c>
      <c r="F1082" t="s">
        <v>2119</v>
      </c>
      <c r="G1082" t="s">
        <v>2124</v>
      </c>
      <c r="H1082" t="s">
        <v>2135</v>
      </c>
      <c r="I1082" t="s">
        <v>2143</v>
      </c>
      <c r="J1082" t="s">
        <v>2146</v>
      </c>
      <c r="K1082" t="s">
        <v>2154</v>
      </c>
      <c r="L1082" s="3">
        <v>1</v>
      </c>
      <c r="M1082" s="2">
        <v>41824.379999999997</v>
      </c>
      <c r="N1082" s="5">
        <v>0.15</v>
      </c>
      <c r="O1082" s="2">
        <v>35550.720000000001</v>
      </c>
      <c r="P1082" s="2">
        <v>4536.63</v>
      </c>
      <c r="Q1082" t="s">
        <v>2169</v>
      </c>
    </row>
    <row r="1083" spans="1:17">
      <c r="A1083" t="s">
        <v>1098</v>
      </c>
      <c r="B1083" s="1">
        <v>45917</v>
      </c>
      <c r="C1083" t="s">
        <v>1762</v>
      </c>
      <c r="D1083" t="s">
        <v>2060</v>
      </c>
      <c r="E1083" t="s">
        <v>2114</v>
      </c>
      <c r="F1083" t="s">
        <v>2117</v>
      </c>
      <c r="G1083" t="s">
        <v>2123</v>
      </c>
      <c r="H1083" t="s">
        <v>2134</v>
      </c>
      <c r="I1083" t="s">
        <v>2142</v>
      </c>
      <c r="J1083" t="s">
        <v>2151</v>
      </c>
      <c r="K1083" t="s">
        <v>2160</v>
      </c>
      <c r="L1083" s="3">
        <v>1</v>
      </c>
      <c r="M1083" s="2">
        <v>8233.5400000000009</v>
      </c>
      <c r="N1083" s="5">
        <v>0.05</v>
      </c>
      <c r="O1083" s="2">
        <v>7821.86</v>
      </c>
      <c r="P1083" s="2">
        <v>2004.13</v>
      </c>
      <c r="Q1083" t="s">
        <v>2168</v>
      </c>
    </row>
    <row r="1084" spans="1:17">
      <c r="A1084" t="s">
        <v>1099</v>
      </c>
      <c r="B1084" s="1">
        <v>45917</v>
      </c>
      <c r="C1084" t="s">
        <v>1754</v>
      </c>
      <c r="D1084" t="s">
        <v>2052</v>
      </c>
      <c r="E1084" t="s">
        <v>2114</v>
      </c>
      <c r="F1084" t="s">
        <v>2117</v>
      </c>
      <c r="G1084" t="s">
        <v>2125</v>
      </c>
      <c r="H1084" t="s">
        <v>2136</v>
      </c>
      <c r="I1084" t="s">
        <v>2142</v>
      </c>
      <c r="J1084" t="s">
        <v>2147</v>
      </c>
      <c r="K1084" t="s">
        <v>2157</v>
      </c>
      <c r="L1084" s="3">
        <v>4</v>
      </c>
      <c r="M1084" s="2">
        <v>14656.4</v>
      </c>
      <c r="N1084" s="5">
        <v>0.1</v>
      </c>
      <c r="O1084" s="2">
        <v>52763.040000000001</v>
      </c>
      <c r="P1084" s="2">
        <v>8316.85</v>
      </c>
      <c r="Q1084" t="s">
        <v>2170</v>
      </c>
    </row>
    <row r="1085" spans="1:17">
      <c r="A1085" t="s">
        <v>1100</v>
      </c>
      <c r="B1085" s="1">
        <v>45918</v>
      </c>
      <c r="C1085" t="s">
        <v>1554</v>
      </c>
      <c r="D1085" t="s">
        <v>1852</v>
      </c>
      <c r="E1085" t="s">
        <v>2113</v>
      </c>
      <c r="F1085" t="s">
        <v>2119</v>
      </c>
      <c r="G1085" t="s">
        <v>2130</v>
      </c>
      <c r="H1085" t="s">
        <v>2141</v>
      </c>
      <c r="I1085" t="s">
        <v>2143</v>
      </c>
      <c r="J1085" t="s">
        <v>2146</v>
      </c>
      <c r="K1085" t="s">
        <v>2164</v>
      </c>
      <c r="L1085" s="3">
        <v>3</v>
      </c>
      <c r="M1085" s="2">
        <v>17643.310000000001</v>
      </c>
      <c r="N1085" s="5">
        <v>0.15</v>
      </c>
      <c r="O1085" s="2">
        <v>44990.44</v>
      </c>
      <c r="P1085" s="2">
        <v>5104.37</v>
      </c>
      <c r="Q1085" t="s">
        <v>2169</v>
      </c>
    </row>
    <row r="1086" spans="1:17">
      <c r="A1086" t="s">
        <v>1101</v>
      </c>
      <c r="B1086" s="1">
        <v>45918</v>
      </c>
      <c r="C1086" t="s">
        <v>1533</v>
      </c>
      <c r="D1086" t="s">
        <v>1831</v>
      </c>
      <c r="E1086" t="s">
        <v>2113</v>
      </c>
      <c r="F1086" t="s">
        <v>2117</v>
      </c>
      <c r="G1086" t="s">
        <v>2123</v>
      </c>
      <c r="H1086" t="s">
        <v>2134</v>
      </c>
      <c r="I1086" t="s">
        <v>2143</v>
      </c>
      <c r="J1086" t="s">
        <v>2149</v>
      </c>
      <c r="K1086" t="s">
        <v>2163</v>
      </c>
      <c r="L1086" s="3">
        <v>3</v>
      </c>
      <c r="M1086" s="2">
        <v>63081.22</v>
      </c>
      <c r="N1086" s="5">
        <v>0.15</v>
      </c>
      <c r="O1086" s="2">
        <v>160857.10999999999</v>
      </c>
      <c r="P1086" s="2">
        <v>23971.61</v>
      </c>
      <c r="Q1086" t="s">
        <v>2167</v>
      </c>
    </row>
    <row r="1087" spans="1:17">
      <c r="A1087" t="s">
        <v>1102</v>
      </c>
      <c r="B1087" s="1">
        <v>45919</v>
      </c>
      <c r="C1087" t="s">
        <v>1592</v>
      </c>
      <c r="D1087" t="s">
        <v>1890</v>
      </c>
      <c r="E1087" t="s">
        <v>2114</v>
      </c>
      <c r="F1087" t="s">
        <v>2117</v>
      </c>
      <c r="G1087" t="s">
        <v>2121</v>
      </c>
      <c r="H1087" t="s">
        <v>2132</v>
      </c>
      <c r="I1087" t="s">
        <v>2142</v>
      </c>
      <c r="J1087" t="s">
        <v>2145</v>
      </c>
      <c r="K1087" t="s">
        <v>2165</v>
      </c>
      <c r="L1087" s="3">
        <v>2</v>
      </c>
      <c r="M1087" s="2">
        <v>6525.01</v>
      </c>
      <c r="N1087" s="5">
        <v>0</v>
      </c>
      <c r="O1087" s="2">
        <v>13050.02</v>
      </c>
      <c r="P1087" s="2">
        <v>1870.62</v>
      </c>
      <c r="Q1087" t="s">
        <v>2168</v>
      </c>
    </row>
    <row r="1088" spans="1:17">
      <c r="A1088" t="s">
        <v>1103</v>
      </c>
      <c r="B1088" s="1">
        <v>45919</v>
      </c>
      <c r="C1088" t="s">
        <v>1760</v>
      </c>
      <c r="D1088" t="s">
        <v>2058</v>
      </c>
      <c r="E1088" t="s">
        <v>2114</v>
      </c>
      <c r="F1088" t="s">
        <v>2117</v>
      </c>
      <c r="G1088" t="s">
        <v>2121</v>
      </c>
      <c r="H1088" t="s">
        <v>2132</v>
      </c>
      <c r="I1088" t="s">
        <v>2144</v>
      </c>
      <c r="J1088" t="s">
        <v>2152</v>
      </c>
      <c r="K1088" t="s">
        <v>2166</v>
      </c>
      <c r="L1088" s="3">
        <v>1</v>
      </c>
      <c r="M1088" s="2">
        <v>584.28</v>
      </c>
      <c r="N1088" s="5">
        <v>0.1</v>
      </c>
      <c r="O1088" s="2">
        <v>525.85</v>
      </c>
      <c r="P1088" s="2">
        <v>171.01</v>
      </c>
      <c r="Q1088" t="s">
        <v>2168</v>
      </c>
    </row>
    <row r="1089" spans="1:17">
      <c r="A1089" t="s">
        <v>1104</v>
      </c>
      <c r="B1089" s="1">
        <v>45919</v>
      </c>
      <c r="C1089" t="s">
        <v>1701</v>
      </c>
      <c r="D1089" t="s">
        <v>1999</v>
      </c>
      <c r="E1089" t="s">
        <v>2113</v>
      </c>
      <c r="F1089" t="s">
        <v>2118</v>
      </c>
      <c r="G1089" t="s">
        <v>2126</v>
      </c>
      <c r="H1089" t="s">
        <v>2137</v>
      </c>
      <c r="I1089" t="s">
        <v>2144</v>
      </c>
      <c r="J1089" t="s">
        <v>2147</v>
      </c>
      <c r="K1089" t="s">
        <v>2155</v>
      </c>
      <c r="L1089" s="3">
        <v>4</v>
      </c>
      <c r="M1089" s="2">
        <v>721.81</v>
      </c>
      <c r="N1089" s="5">
        <v>0.1</v>
      </c>
      <c r="O1089" s="2">
        <v>2598.52</v>
      </c>
      <c r="P1089" s="2">
        <v>380.05</v>
      </c>
      <c r="Q1089" t="s">
        <v>2170</v>
      </c>
    </row>
    <row r="1090" spans="1:17">
      <c r="A1090" t="s">
        <v>1105</v>
      </c>
      <c r="B1090" s="1">
        <v>45920</v>
      </c>
      <c r="C1090" t="s">
        <v>1546</v>
      </c>
      <c r="D1090" t="s">
        <v>1844</v>
      </c>
      <c r="E1090" t="s">
        <v>2114</v>
      </c>
      <c r="F1090" t="s">
        <v>2117</v>
      </c>
      <c r="G1090" t="s">
        <v>2123</v>
      </c>
      <c r="H1090" t="s">
        <v>2134</v>
      </c>
      <c r="I1090" t="s">
        <v>2142</v>
      </c>
      <c r="J1090" t="s">
        <v>2151</v>
      </c>
      <c r="K1090" t="s">
        <v>2160</v>
      </c>
      <c r="L1090" s="3">
        <v>1</v>
      </c>
      <c r="M1090" s="2">
        <v>8629.85</v>
      </c>
      <c r="N1090" s="5">
        <v>0.1</v>
      </c>
      <c r="O1090" s="2">
        <v>7766.87</v>
      </c>
      <c r="P1090" s="2">
        <v>1780.05</v>
      </c>
      <c r="Q1090" t="s">
        <v>2169</v>
      </c>
    </row>
    <row r="1091" spans="1:17">
      <c r="A1091" t="s">
        <v>1106</v>
      </c>
      <c r="B1091" s="1">
        <v>45920</v>
      </c>
      <c r="C1091" t="s">
        <v>1625</v>
      </c>
      <c r="D1091" t="s">
        <v>1923</v>
      </c>
      <c r="E1091" t="s">
        <v>2114</v>
      </c>
      <c r="F1091" t="s">
        <v>2116</v>
      </c>
      <c r="G1091" t="s">
        <v>2127</v>
      </c>
      <c r="H1091" t="s">
        <v>2138</v>
      </c>
      <c r="I1091" t="s">
        <v>2143</v>
      </c>
      <c r="J1091" t="s">
        <v>2146</v>
      </c>
      <c r="K1091" t="s">
        <v>2154</v>
      </c>
      <c r="L1091" s="3">
        <v>1</v>
      </c>
      <c r="M1091" s="2">
        <v>43418.5</v>
      </c>
      <c r="N1091" s="5">
        <v>0.1</v>
      </c>
      <c r="O1091" s="2">
        <v>39076.65</v>
      </c>
      <c r="P1091" s="2">
        <v>6210.5</v>
      </c>
      <c r="Q1091" t="s">
        <v>2170</v>
      </c>
    </row>
    <row r="1092" spans="1:17">
      <c r="A1092" t="s">
        <v>1107</v>
      </c>
      <c r="B1092" s="1">
        <v>45920</v>
      </c>
      <c r="C1092" t="s">
        <v>1712</v>
      </c>
      <c r="D1092" t="s">
        <v>2010</v>
      </c>
      <c r="E1092" t="s">
        <v>2113</v>
      </c>
      <c r="F1092" t="s">
        <v>2118</v>
      </c>
      <c r="G1092" t="s">
        <v>2126</v>
      </c>
      <c r="H1092" t="s">
        <v>2137</v>
      </c>
      <c r="I1092" t="s">
        <v>2142</v>
      </c>
      <c r="J1092" t="s">
        <v>2151</v>
      </c>
      <c r="K1092" t="s">
        <v>2160</v>
      </c>
      <c r="L1092" s="3">
        <v>1</v>
      </c>
      <c r="M1092" s="2">
        <v>8293.08</v>
      </c>
      <c r="N1092" s="5">
        <v>0.1</v>
      </c>
      <c r="O1092" s="2">
        <v>7463.77</v>
      </c>
      <c r="P1092" s="2">
        <v>1880.72</v>
      </c>
      <c r="Q1092" t="s">
        <v>2169</v>
      </c>
    </row>
    <row r="1093" spans="1:17">
      <c r="A1093" t="s">
        <v>1108</v>
      </c>
      <c r="B1093" s="1">
        <v>45921</v>
      </c>
      <c r="C1093" t="s">
        <v>1695</v>
      </c>
      <c r="D1093" t="s">
        <v>1993</v>
      </c>
      <c r="E1093" t="s">
        <v>2115</v>
      </c>
      <c r="F1093" t="s">
        <v>2116</v>
      </c>
      <c r="G1093" t="s">
        <v>2127</v>
      </c>
      <c r="H1093" t="s">
        <v>2138</v>
      </c>
      <c r="I1093" t="s">
        <v>2143</v>
      </c>
      <c r="J1093" t="s">
        <v>2148</v>
      </c>
      <c r="K1093" t="s">
        <v>2156</v>
      </c>
      <c r="L1093" s="3">
        <v>1</v>
      </c>
      <c r="M1093" s="2">
        <v>1254.8900000000001</v>
      </c>
      <c r="N1093" s="5">
        <v>0</v>
      </c>
      <c r="O1093" s="2">
        <v>1254.8900000000001</v>
      </c>
      <c r="P1093" s="2">
        <v>101.95</v>
      </c>
      <c r="Q1093" t="s">
        <v>2169</v>
      </c>
    </row>
    <row r="1094" spans="1:17">
      <c r="A1094" t="s">
        <v>1109</v>
      </c>
      <c r="B1094" s="1">
        <v>45921</v>
      </c>
      <c r="C1094" t="s">
        <v>1796</v>
      </c>
      <c r="D1094" t="s">
        <v>2094</v>
      </c>
      <c r="E1094" t="s">
        <v>2114</v>
      </c>
      <c r="F1094" t="s">
        <v>2117</v>
      </c>
      <c r="G1094" t="s">
        <v>2123</v>
      </c>
      <c r="H1094" t="s">
        <v>2134</v>
      </c>
      <c r="I1094" t="s">
        <v>2144</v>
      </c>
      <c r="J1094" t="s">
        <v>2147</v>
      </c>
      <c r="K1094" t="s">
        <v>2155</v>
      </c>
      <c r="L1094" s="3">
        <v>2</v>
      </c>
      <c r="M1094" s="2">
        <v>765.18</v>
      </c>
      <c r="N1094" s="5">
        <v>0.1</v>
      </c>
      <c r="O1094" s="2">
        <v>1377.32</v>
      </c>
      <c r="P1094" s="2">
        <v>333.59</v>
      </c>
      <c r="Q1094" t="s">
        <v>2167</v>
      </c>
    </row>
    <row r="1095" spans="1:17">
      <c r="A1095" t="s">
        <v>1110</v>
      </c>
      <c r="B1095" s="1">
        <v>45921</v>
      </c>
      <c r="C1095" t="s">
        <v>1752</v>
      </c>
      <c r="D1095" t="s">
        <v>2050</v>
      </c>
      <c r="E1095" t="s">
        <v>2114</v>
      </c>
      <c r="F1095" t="s">
        <v>2116</v>
      </c>
      <c r="G1095" t="s">
        <v>2127</v>
      </c>
      <c r="H1095" t="s">
        <v>2140</v>
      </c>
      <c r="I1095" t="s">
        <v>2142</v>
      </c>
      <c r="J1095" t="s">
        <v>2147</v>
      </c>
      <c r="K1095" t="s">
        <v>2157</v>
      </c>
      <c r="L1095" s="3">
        <v>2</v>
      </c>
      <c r="M1095" s="2">
        <v>14495.67</v>
      </c>
      <c r="N1095" s="5">
        <v>0.05</v>
      </c>
      <c r="O1095" s="2">
        <v>27541.77</v>
      </c>
      <c r="P1095" s="2">
        <v>6504.53</v>
      </c>
      <c r="Q1095" t="s">
        <v>2167</v>
      </c>
    </row>
    <row r="1096" spans="1:17">
      <c r="A1096" t="s">
        <v>1111</v>
      </c>
      <c r="B1096" s="1">
        <v>45922</v>
      </c>
      <c r="C1096" t="s">
        <v>1530</v>
      </c>
      <c r="D1096" t="s">
        <v>1828</v>
      </c>
      <c r="E1096" t="s">
        <v>2114</v>
      </c>
      <c r="F1096" t="s">
        <v>2118</v>
      </c>
      <c r="G1096" t="s">
        <v>2122</v>
      </c>
      <c r="H1096" t="s">
        <v>2133</v>
      </c>
      <c r="I1096" t="s">
        <v>2143</v>
      </c>
      <c r="J1096" t="s">
        <v>2148</v>
      </c>
      <c r="K1096" t="s">
        <v>2156</v>
      </c>
      <c r="L1096" s="3">
        <v>1</v>
      </c>
      <c r="M1096" s="2">
        <v>1165.17</v>
      </c>
      <c r="N1096" s="5">
        <v>0.15</v>
      </c>
      <c r="O1096" s="2">
        <v>990.39</v>
      </c>
      <c r="P1096" s="2">
        <v>80.78</v>
      </c>
      <c r="Q1096" t="s">
        <v>2170</v>
      </c>
    </row>
    <row r="1097" spans="1:17">
      <c r="A1097" t="s">
        <v>1112</v>
      </c>
      <c r="B1097" s="1">
        <v>45922</v>
      </c>
      <c r="C1097" t="s">
        <v>1661</v>
      </c>
      <c r="D1097" t="s">
        <v>1959</v>
      </c>
      <c r="E1097" t="s">
        <v>2114</v>
      </c>
      <c r="F1097" t="s">
        <v>2116</v>
      </c>
      <c r="G1097" t="s">
        <v>2127</v>
      </c>
      <c r="H1097" t="s">
        <v>2140</v>
      </c>
      <c r="I1097" t="s">
        <v>2143</v>
      </c>
      <c r="J1097" t="s">
        <v>2148</v>
      </c>
      <c r="K1097" t="s">
        <v>2161</v>
      </c>
      <c r="L1097" s="3">
        <v>1</v>
      </c>
      <c r="M1097" s="2">
        <v>1757.83</v>
      </c>
      <c r="N1097" s="5">
        <v>0</v>
      </c>
      <c r="O1097" s="2">
        <v>1757.83</v>
      </c>
      <c r="P1097" s="2">
        <v>163.96</v>
      </c>
      <c r="Q1097" t="s">
        <v>2170</v>
      </c>
    </row>
    <row r="1098" spans="1:17">
      <c r="A1098" t="s">
        <v>1113</v>
      </c>
      <c r="B1098" s="1">
        <v>45922</v>
      </c>
      <c r="C1098" t="s">
        <v>1623</v>
      </c>
      <c r="D1098" t="s">
        <v>1921</v>
      </c>
      <c r="E1098" t="s">
        <v>2114</v>
      </c>
      <c r="F1098" t="s">
        <v>2117</v>
      </c>
      <c r="G1098" t="s">
        <v>2123</v>
      </c>
      <c r="H1098" t="s">
        <v>2134</v>
      </c>
      <c r="I1098" t="s">
        <v>2142</v>
      </c>
      <c r="J1098" t="s">
        <v>2145</v>
      </c>
      <c r="K1098" t="s">
        <v>2165</v>
      </c>
      <c r="L1098" s="3">
        <v>1</v>
      </c>
      <c r="M1098" s="2">
        <v>6393.67</v>
      </c>
      <c r="N1098" s="5">
        <v>0.1</v>
      </c>
      <c r="O1098" s="2">
        <v>5754.3</v>
      </c>
      <c r="P1098" s="2">
        <v>1228.2</v>
      </c>
      <c r="Q1098" t="s">
        <v>2170</v>
      </c>
    </row>
    <row r="1099" spans="1:17">
      <c r="A1099" t="s">
        <v>1114</v>
      </c>
      <c r="B1099" s="1">
        <v>45922</v>
      </c>
      <c r="C1099" t="s">
        <v>1705</v>
      </c>
      <c r="D1099" t="s">
        <v>2003</v>
      </c>
      <c r="E1099" t="s">
        <v>2114</v>
      </c>
      <c r="F1099" t="s">
        <v>2116</v>
      </c>
      <c r="G1099" t="s">
        <v>2127</v>
      </c>
      <c r="H1099" t="s">
        <v>2138</v>
      </c>
      <c r="I1099" t="s">
        <v>2142</v>
      </c>
      <c r="J1099" t="s">
        <v>2145</v>
      </c>
      <c r="K1099" t="s">
        <v>2153</v>
      </c>
      <c r="L1099" s="3">
        <v>3</v>
      </c>
      <c r="M1099" s="2">
        <v>11986.72</v>
      </c>
      <c r="N1099" s="5">
        <v>0.1</v>
      </c>
      <c r="O1099" s="2">
        <v>32364.14</v>
      </c>
      <c r="P1099" s="2">
        <v>6707.11</v>
      </c>
      <c r="Q1099" t="s">
        <v>2167</v>
      </c>
    </row>
    <row r="1100" spans="1:17">
      <c r="A1100" t="s">
        <v>1115</v>
      </c>
      <c r="B1100" s="1">
        <v>45922</v>
      </c>
      <c r="C1100" t="s">
        <v>1648</v>
      </c>
      <c r="D1100" t="s">
        <v>1946</v>
      </c>
      <c r="E1100" t="s">
        <v>2114</v>
      </c>
      <c r="F1100" t="s">
        <v>2116</v>
      </c>
      <c r="G1100" t="s">
        <v>2127</v>
      </c>
      <c r="H1100" t="s">
        <v>2140</v>
      </c>
      <c r="I1100" t="s">
        <v>2142</v>
      </c>
      <c r="J1100" t="s">
        <v>2151</v>
      </c>
      <c r="K1100" t="s">
        <v>2160</v>
      </c>
      <c r="L1100" s="3">
        <v>1</v>
      </c>
      <c r="M1100" s="2">
        <v>8214.93</v>
      </c>
      <c r="N1100" s="5">
        <v>0.15</v>
      </c>
      <c r="O1100" s="2">
        <v>6982.69</v>
      </c>
      <c r="P1100" s="2">
        <v>1193.22</v>
      </c>
      <c r="Q1100" t="s">
        <v>2169</v>
      </c>
    </row>
    <row r="1101" spans="1:17">
      <c r="A1101" t="s">
        <v>1116</v>
      </c>
      <c r="B1101" s="1">
        <v>45923</v>
      </c>
      <c r="C1101" t="s">
        <v>1599</v>
      </c>
      <c r="D1101" t="s">
        <v>1897</v>
      </c>
      <c r="E1101" t="s">
        <v>2113</v>
      </c>
      <c r="F1101" t="s">
        <v>2119</v>
      </c>
      <c r="G1101" t="s">
        <v>2129</v>
      </c>
      <c r="H1101" t="s">
        <v>2139</v>
      </c>
      <c r="I1101" t="s">
        <v>2142</v>
      </c>
      <c r="J1101" t="s">
        <v>2147</v>
      </c>
      <c r="K1101" t="s">
        <v>2157</v>
      </c>
      <c r="L1101" s="3">
        <v>1</v>
      </c>
      <c r="M1101" s="2">
        <v>14155.73</v>
      </c>
      <c r="N1101" s="5">
        <v>0.2</v>
      </c>
      <c r="O1101" s="2">
        <v>11324.58</v>
      </c>
      <c r="P1101" s="2">
        <v>1156.8699999999999</v>
      </c>
      <c r="Q1101" t="s">
        <v>2168</v>
      </c>
    </row>
    <row r="1102" spans="1:17">
      <c r="A1102" t="s">
        <v>1117</v>
      </c>
      <c r="B1102" s="1">
        <v>45923</v>
      </c>
      <c r="C1102" t="s">
        <v>1802</v>
      </c>
      <c r="D1102" t="s">
        <v>2100</v>
      </c>
      <c r="E1102" t="s">
        <v>2114</v>
      </c>
      <c r="F1102" t="s">
        <v>2116</v>
      </c>
      <c r="G1102" t="s">
        <v>2127</v>
      </c>
      <c r="H1102" t="s">
        <v>2140</v>
      </c>
      <c r="I1102" t="s">
        <v>2143</v>
      </c>
      <c r="J1102" t="s">
        <v>2149</v>
      </c>
      <c r="K1102" t="s">
        <v>2158</v>
      </c>
      <c r="L1102" s="3">
        <v>1</v>
      </c>
      <c r="M1102" s="2">
        <v>48367.28</v>
      </c>
      <c r="N1102" s="5">
        <v>0.05</v>
      </c>
      <c r="O1102" s="2">
        <v>45948.92</v>
      </c>
      <c r="P1102" s="2">
        <v>9531.51</v>
      </c>
      <c r="Q1102" t="s">
        <v>2170</v>
      </c>
    </row>
    <row r="1103" spans="1:17">
      <c r="A1103" t="s">
        <v>1118</v>
      </c>
      <c r="B1103" s="1">
        <v>45923</v>
      </c>
      <c r="C1103" t="s">
        <v>1679</v>
      </c>
      <c r="D1103" t="s">
        <v>1977</v>
      </c>
      <c r="E1103" t="s">
        <v>2114</v>
      </c>
      <c r="F1103" t="s">
        <v>2118</v>
      </c>
      <c r="G1103" t="s">
        <v>2122</v>
      </c>
      <c r="H1103" t="s">
        <v>2133</v>
      </c>
      <c r="I1103" t="s">
        <v>2144</v>
      </c>
      <c r="J1103" t="s">
        <v>2150</v>
      </c>
      <c r="K1103" t="s">
        <v>2159</v>
      </c>
      <c r="L1103" s="3">
        <v>1</v>
      </c>
      <c r="M1103" s="2">
        <v>449.05</v>
      </c>
      <c r="N1103" s="5">
        <v>0.05</v>
      </c>
      <c r="O1103" s="2">
        <v>426.6</v>
      </c>
      <c r="P1103" s="2">
        <v>136.28</v>
      </c>
      <c r="Q1103" t="s">
        <v>2167</v>
      </c>
    </row>
    <row r="1104" spans="1:17">
      <c r="A1104" t="s">
        <v>1119</v>
      </c>
      <c r="B1104" s="1">
        <v>45924</v>
      </c>
      <c r="C1104" t="s">
        <v>1749</v>
      </c>
      <c r="D1104" t="s">
        <v>2047</v>
      </c>
      <c r="E1104" t="s">
        <v>2114</v>
      </c>
      <c r="F1104" t="s">
        <v>2117</v>
      </c>
      <c r="G1104" t="s">
        <v>2125</v>
      </c>
      <c r="H1104" t="s">
        <v>2136</v>
      </c>
      <c r="I1104" t="s">
        <v>2142</v>
      </c>
      <c r="J1104" t="s">
        <v>2145</v>
      </c>
      <c r="K1104" t="s">
        <v>2153</v>
      </c>
      <c r="L1104" s="3">
        <v>3</v>
      </c>
      <c r="M1104" s="2">
        <v>12320.6</v>
      </c>
      <c r="N1104" s="5">
        <v>0.15</v>
      </c>
      <c r="O1104" s="2">
        <v>31417.53</v>
      </c>
      <c r="P1104" s="2">
        <v>7851.59</v>
      </c>
      <c r="Q1104" t="s">
        <v>2170</v>
      </c>
    </row>
    <row r="1105" spans="1:17">
      <c r="A1105" t="s">
        <v>1120</v>
      </c>
      <c r="B1105" s="1">
        <v>45925</v>
      </c>
      <c r="C1105" t="s">
        <v>1556</v>
      </c>
      <c r="D1105" t="s">
        <v>1854</v>
      </c>
      <c r="E1105" t="s">
        <v>2114</v>
      </c>
      <c r="F1105" t="s">
        <v>2118</v>
      </c>
      <c r="G1105" t="s">
        <v>2126</v>
      </c>
      <c r="H1105" t="s">
        <v>2137</v>
      </c>
      <c r="I1105" t="s">
        <v>2144</v>
      </c>
      <c r="J1105" t="s">
        <v>2150</v>
      </c>
      <c r="K1105" t="s">
        <v>2159</v>
      </c>
      <c r="L1105" s="3">
        <v>1</v>
      </c>
      <c r="M1105" s="2">
        <v>462.22</v>
      </c>
      <c r="N1105" s="5">
        <v>0.05</v>
      </c>
      <c r="O1105" s="2">
        <v>439.11</v>
      </c>
      <c r="P1105" s="2">
        <v>116.35</v>
      </c>
      <c r="Q1105" t="s">
        <v>2168</v>
      </c>
    </row>
    <row r="1106" spans="1:17">
      <c r="A1106" t="s">
        <v>1121</v>
      </c>
      <c r="B1106" s="1">
        <v>45925</v>
      </c>
      <c r="C1106" t="s">
        <v>1640</v>
      </c>
      <c r="D1106" t="s">
        <v>1938</v>
      </c>
      <c r="E1106" t="s">
        <v>2114</v>
      </c>
      <c r="F1106" t="s">
        <v>2118</v>
      </c>
      <c r="G1106" t="s">
        <v>2126</v>
      </c>
      <c r="H1106" t="s">
        <v>2137</v>
      </c>
      <c r="I1106" t="s">
        <v>2143</v>
      </c>
      <c r="J1106" t="s">
        <v>2148</v>
      </c>
      <c r="K1106" t="s">
        <v>2156</v>
      </c>
      <c r="L1106" s="3">
        <v>2</v>
      </c>
      <c r="M1106" s="2">
        <v>1213.96</v>
      </c>
      <c r="N1106" s="5">
        <v>0</v>
      </c>
      <c r="O1106" s="2">
        <v>2427.92</v>
      </c>
      <c r="P1106" s="2">
        <v>246.97</v>
      </c>
      <c r="Q1106" t="s">
        <v>2167</v>
      </c>
    </row>
    <row r="1107" spans="1:17">
      <c r="A1107" t="s">
        <v>1122</v>
      </c>
      <c r="B1107" s="1">
        <v>45925</v>
      </c>
      <c r="C1107" t="s">
        <v>1792</v>
      </c>
      <c r="D1107" t="s">
        <v>2090</v>
      </c>
      <c r="E1107" t="s">
        <v>2113</v>
      </c>
      <c r="F1107" t="s">
        <v>2118</v>
      </c>
      <c r="G1107" t="s">
        <v>2126</v>
      </c>
      <c r="H1107" t="s">
        <v>2137</v>
      </c>
      <c r="I1107" t="s">
        <v>2142</v>
      </c>
      <c r="J1107" t="s">
        <v>2145</v>
      </c>
      <c r="K1107" t="s">
        <v>2153</v>
      </c>
      <c r="L1107" s="3">
        <v>3</v>
      </c>
      <c r="M1107" s="2">
        <v>12164.68</v>
      </c>
      <c r="N1107" s="5">
        <v>0.1</v>
      </c>
      <c r="O1107" s="2">
        <v>32844.639999999999</v>
      </c>
      <c r="P1107" s="2">
        <v>8024.21</v>
      </c>
      <c r="Q1107" t="s">
        <v>2168</v>
      </c>
    </row>
    <row r="1108" spans="1:17">
      <c r="A1108" t="s">
        <v>1123</v>
      </c>
      <c r="B1108" s="1">
        <v>45926</v>
      </c>
      <c r="C1108" t="s">
        <v>1635</v>
      </c>
      <c r="D1108" t="s">
        <v>1933</v>
      </c>
      <c r="E1108" t="s">
        <v>2113</v>
      </c>
      <c r="F1108" t="s">
        <v>2119</v>
      </c>
      <c r="G1108" t="s">
        <v>2124</v>
      </c>
      <c r="H1108" t="s">
        <v>2135</v>
      </c>
      <c r="I1108" t="s">
        <v>2142</v>
      </c>
      <c r="J1108" t="s">
        <v>2145</v>
      </c>
      <c r="K1108" t="s">
        <v>2153</v>
      </c>
      <c r="L1108" s="3">
        <v>2</v>
      </c>
      <c r="M1108" s="2">
        <v>11694.34</v>
      </c>
      <c r="N1108" s="5">
        <v>0.15</v>
      </c>
      <c r="O1108" s="2">
        <v>19880.38</v>
      </c>
      <c r="P1108" s="2">
        <v>2468.34</v>
      </c>
      <c r="Q1108" t="s">
        <v>2168</v>
      </c>
    </row>
    <row r="1109" spans="1:17">
      <c r="A1109" t="s">
        <v>1124</v>
      </c>
      <c r="B1109" s="1">
        <v>45926</v>
      </c>
      <c r="C1109" t="s">
        <v>1548</v>
      </c>
      <c r="D1109" t="s">
        <v>1846</v>
      </c>
      <c r="E1109" t="s">
        <v>2114</v>
      </c>
      <c r="F1109" t="s">
        <v>2116</v>
      </c>
      <c r="G1109" t="s">
        <v>2127</v>
      </c>
      <c r="H1109" t="s">
        <v>2140</v>
      </c>
      <c r="I1109" t="s">
        <v>2143</v>
      </c>
      <c r="J1109" t="s">
        <v>2149</v>
      </c>
      <c r="K1109" t="s">
        <v>2163</v>
      </c>
      <c r="L1109" s="3">
        <v>1</v>
      </c>
      <c r="M1109" s="2">
        <v>67890.33</v>
      </c>
      <c r="N1109" s="5">
        <v>0.2</v>
      </c>
      <c r="O1109" s="2">
        <v>54312.26</v>
      </c>
      <c r="P1109" s="2">
        <v>5385.91</v>
      </c>
      <c r="Q1109" t="s">
        <v>2168</v>
      </c>
    </row>
    <row r="1110" spans="1:17">
      <c r="A1110" t="s">
        <v>1125</v>
      </c>
      <c r="B1110" s="1">
        <v>45926</v>
      </c>
      <c r="C1110" t="s">
        <v>1777</v>
      </c>
      <c r="D1110" t="s">
        <v>2075</v>
      </c>
      <c r="E1110" t="s">
        <v>2113</v>
      </c>
      <c r="F1110" t="s">
        <v>2118</v>
      </c>
      <c r="G1110" t="s">
        <v>2122</v>
      </c>
      <c r="H1110" t="s">
        <v>2133</v>
      </c>
      <c r="I1110" t="s">
        <v>2142</v>
      </c>
      <c r="J1110" t="s">
        <v>2145</v>
      </c>
      <c r="K1110" t="s">
        <v>2153</v>
      </c>
      <c r="L1110" s="3">
        <v>2</v>
      </c>
      <c r="M1110" s="2">
        <v>11664.56</v>
      </c>
      <c r="N1110" s="5">
        <v>0.15</v>
      </c>
      <c r="O1110" s="2">
        <v>19829.75</v>
      </c>
      <c r="P1110" s="2">
        <v>2302.1</v>
      </c>
      <c r="Q1110" t="s">
        <v>2169</v>
      </c>
    </row>
    <row r="1111" spans="1:17">
      <c r="A1111" t="s">
        <v>1126</v>
      </c>
      <c r="B1111" s="1">
        <v>45926</v>
      </c>
      <c r="C1111" t="s">
        <v>1611</v>
      </c>
      <c r="D1111" t="s">
        <v>1909</v>
      </c>
      <c r="E1111" t="s">
        <v>2113</v>
      </c>
      <c r="F1111" t="s">
        <v>2117</v>
      </c>
      <c r="G1111" t="s">
        <v>2123</v>
      </c>
      <c r="H1111" t="s">
        <v>2134</v>
      </c>
      <c r="I1111" t="s">
        <v>2144</v>
      </c>
      <c r="J1111" t="s">
        <v>2150</v>
      </c>
      <c r="K1111" t="s">
        <v>2159</v>
      </c>
      <c r="L1111" s="3">
        <v>1</v>
      </c>
      <c r="M1111" s="2">
        <v>458.47</v>
      </c>
      <c r="N1111" s="5">
        <v>0</v>
      </c>
      <c r="O1111" s="2">
        <v>458.47</v>
      </c>
      <c r="P1111" s="2">
        <v>88.92</v>
      </c>
      <c r="Q1111" t="s">
        <v>2168</v>
      </c>
    </row>
    <row r="1112" spans="1:17">
      <c r="A1112" t="s">
        <v>1127</v>
      </c>
      <c r="B1112" s="1">
        <v>45926</v>
      </c>
      <c r="C1112" t="s">
        <v>1813</v>
      </c>
      <c r="D1112" t="s">
        <v>2111</v>
      </c>
      <c r="E1112" t="s">
        <v>2114</v>
      </c>
      <c r="F1112" t="s">
        <v>2117</v>
      </c>
      <c r="G1112" t="s">
        <v>2123</v>
      </c>
      <c r="H1112" t="s">
        <v>2134</v>
      </c>
      <c r="I1112" t="s">
        <v>2143</v>
      </c>
      <c r="J1112" t="s">
        <v>2146</v>
      </c>
      <c r="K1112" t="s">
        <v>2164</v>
      </c>
      <c r="L1112" s="3">
        <v>5</v>
      </c>
      <c r="M1112" s="2">
        <v>18411.580000000002</v>
      </c>
      <c r="N1112" s="5">
        <v>0.1</v>
      </c>
      <c r="O1112" s="2">
        <v>82852.11</v>
      </c>
      <c r="P1112" s="2">
        <v>8643.32</v>
      </c>
      <c r="Q1112" t="s">
        <v>2167</v>
      </c>
    </row>
    <row r="1113" spans="1:17">
      <c r="A1113" t="s">
        <v>1128</v>
      </c>
      <c r="B1113" s="1">
        <v>45926</v>
      </c>
      <c r="C1113" t="s">
        <v>1717</v>
      </c>
      <c r="D1113" t="s">
        <v>2015</v>
      </c>
      <c r="E1113" t="s">
        <v>2113</v>
      </c>
      <c r="F1113" t="s">
        <v>2117</v>
      </c>
      <c r="G1113" t="s">
        <v>2125</v>
      </c>
      <c r="H1113" t="s">
        <v>2136</v>
      </c>
      <c r="I1113" t="s">
        <v>2143</v>
      </c>
      <c r="J1113" t="s">
        <v>2146</v>
      </c>
      <c r="K1113" t="s">
        <v>2154</v>
      </c>
      <c r="L1113" s="3">
        <v>5</v>
      </c>
      <c r="M1113" s="2">
        <v>41895.42</v>
      </c>
      <c r="N1113" s="5">
        <v>0.05</v>
      </c>
      <c r="O1113" s="2">
        <v>199003.24</v>
      </c>
      <c r="P1113" s="2">
        <v>38636.6</v>
      </c>
      <c r="Q1113" t="s">
        <v>2169</v>
      </c>
    </row>
    <row r="1114" spans="1:17">
      <c r="A1114" t="s">
        <v>1129</v>
      </c>
      <c r="B1114" s="1">
        <v>45927</v>
      </c>
      <c r="C1114" t="s">
        <v>1774</v>
      </c>
      <c r="D1114" t="s">
        <v>2072</v>
      </c>
      <c r="E1114" t="s">
        <v>2114</v>
      </c>
      <c r="F1114" t="s">
        <v>2116</v>
      </c>
      <c r="G1114" t="s">
        <v>2127</v>
      </c>
      <c r="H1114" t="s">
        <v>2140</v>
      </c>
      <c r="I1114" t="s">
        <v>2143</v>
      </c>
      <c r="J1114" t="s">
        <v>2149</v>
      </c>
      <c r="K1114" t="s">
        <v>2163</v>
      </c>
      <c r="L1114" s="3">
        <v>5</v>
      </c>
      <c r="M1114" s="2">
        <v>63215.77</v>
      </c>
      <c r="N1114" s="5">
        <v>0.2</v>
      </c>
      <c r="O1114" s="2">
        <v>252863.08</v>
      </c>
      <c r="P1114" s="2">
        <v>36568.730000000003</v>
      </c>
      <c r="Q1114" t="s">
        <v>2168</v>
      </c>
    </row>
    <row r="1115" spans="1:17">
      <c r="A1115" t="s">
        <v>1130</v>
      </c>
      <c r="B1115" s="1">
        <v>45927</v>
      </c>
      <c r="C1115" t="s">
        <v>1528</v>
      </c>
      <c r="D1115" t="s">
        <v>1826</v>
      </c>
      <c r="E1115" t="s">
        <v>2114</v>
      </c>
      <c r="F1115" t="s">
        <v>2116</v>
      </c>
      <c r="G1115" t="s">
        <v>2127</v>
      </c>
      <c r="H1115" t="s">
        <v>2140</v>
      </c>
      <c r="I1115" t="s">
        <v>2144</v>
      </c>
      <c r="J1115" t="s">
        <v>2147</v>
      </c>
      <c r="K1115" t="s">
        <v>2155</v>
      </c>
      <c r="L1115" s="3">
        <v>3</v>
      </c>
      <c r="M1115" s="2">
        <v>726.04</v>
      </c>
      <c r="N1115" s="5">
        <v>0.15</v>
      </c>
      <c r="O1115" s="2">
        <v>1851.4</v>
      </c>
      <c r="P1115" s="2">
        <v>396.68</v>
      </c>
      <c r="Q1115" t="s">
        <v>2168</v>
      </c>
    </row>
    <row r="1116" spans="1:17">
      <c r="A1116" t="s">
        <v>1131</v>
      </c>
      <c r="B1116" s="1">
        <v>45928</v>
      </c>
      <c r="C1116" t="s">
        <v>1683</v>
      </c>
      <c r="D1116" t="s">
        <v>1981</v>
      </c>
      <c r="E1116" t="s">
        <v>2113</v>
      </c>
      <c r="F1116" t="s">
        <v>2119</v>
      </c>
      <c r="G1116" t="s">
        <v>2129</v>
      </c>
      <c r="H1116" t="s">
        <v>2139</v>
      </c>
      <c r="I1116" t="s">
        <v>2144</v>
      </c>
      <c r="J1116" t="s">
        <v>2152</v>
      </c>
      <c r="K1116" t="s">
        <v>2162</v>
      </c>
      <c r="L1116" s="3">
        <v>3</v>
      </c>
      <c r="M1116" s="2">
        <v>347.87</v>
      </c>
      <c r="N1116" s="5">
        <v>0</v>
      </c>
      <c r="O1116" s="2">
        <v>1043.6099999999999</v>
      </c>
      <c r="P1116" s="2">
        <v>332.55</v>
      </c>
      <c r="Q1116" t="s">
        <v>2169</v>
      </c>
    </row>
    <row r="1117" spans="1:17">
      <c r="A1117" t="s">
        <v>1132</v>
      </c>
      <c r="B1117" s="1">
        <v>45928</v>
      </c>
      <c r="C1117" t="s">
        <v>1693</v>
      </c>
      <c r="D1117" t="s">
        <v>1991</v>
      </c>
      <c r="E1117" t="s">
        <v>2114</v>
      </c>
      <c r="F1117" t="s">
        <v>2116</v>
      </c>
      <c r="G1117" t="s">
        <v>2127</v>
      </c>
      <c r="H1117" t="s">
        <v>2138</v>
      </c>
      <c r="I1117" t="s">
        <v>2144</v>
      </c>
      <c r="J1117" t="s">
        <v>2152</v>
      </c>
      <c r="K1117" t="s">
        <v>2162</v>
      </c>
      <c r="L1117" s="3">
        <v>2</v>
      </c>
      <c r="M1117" s="2">
        <v>339.81</v>
      </c>
      <c r="N1117" s="5">
        <v>0</v>
      </c>
      <c r="O1117" s="2">
        <v>679.62</v>
      </c>
      <c r="P1117" s="2">
        <v>167.98</v>
      </c>
      <c r="Q1117" t="s">
        <v>2167</v>
      </c>
    </row>
    <row r="1118" spans="1:17">
      <c r="A1118" t="s">
        <v>1133</v>
      </c>
      <c r="B1118" s="1">
        <v>45928</v>
      </c>
      <c r="C1118" t="s">
        <v>1673</v>
      </c>
      <c r="D1118" t="s">
        <v>1971</v>
      </c>
      <c r="E1118" t="s">
        <v>2114</v>
      </c>
      <c r="F1118" t="s">
        <v>2116</v>
      </c>
      <c r="G1118" t="s">
        <v>2127</v>
      </c>
      <c r="H1118" t="s">
        <v>2138</v>
      </c>
      <c r="I1118" t="s">
        <v>2143</v>
      </c>
      <c r="J1118" t="s">
        <v>2148</v>
      </c>
      <c r="K1118" t="s">
        <v>2161</v>
      </c>
      <c r="L1118" s="3">
        <v>3</v>
      </c>
      <c r="M1118" s="2">
        <v>1870.21</v>
      </c>
      <c r="N1118" s="5">
        <v>0.05</v>
      </c>
      <c r="O1118" s="2">
        <v>5330.1</v>
      </c>
      <c r="P1118" s="2">
        <v>408.88</v>
      </c>
      <c r="Q1118" t="s">
        <v>2170</v>
      </c>
    </row>
    <row r="1119" spans="1:17">
      <c r="A1119" t="s">
        <v>1134</v>
      </c>
      <c r="B1119" s="1">
        <v>45929</v>
      </c>
      <c r="C1119" t="s">
        <v>1610</v>
      </c>
      <c r="D1119" t="s">
        <v>1908</v>
      </c>
      <c r="E1119" t="s">
        <v>2114</v>
      </c>
      <c r="F1119" t="s">
        <v>2117</v>
      </c>
      <c r="G1119" t="s">
        <v>2121</v>
      </c>
      <c r="H1119" t="s">
        <v>2132</v>
      </c>
      <c r="I1119" t="s">
        <v>2142</v>
      </c>
      <c r="J1119" t="s">
        <v>2145</v>
      </c>
      <c r="K1119" t="s">
        <v>2153</v>
      </c>
      <c r="L1119" s="3">
        <v>4</v>
      </c>
      <c r="M1119" s="2">
        <v>11961.58</v>
      </c>
      <c r="N1119" s="5">
        <v>0.1</v>
      </c>
      <c r="O1119" s="2">
        <v>43061.69</v>
      </c>
      <c r="P1119" s="2">
        <v>6686.31</v>
      </c>
      <c r="Q1119" t="s">
        <v>2169</v>
      </c>
    </row>
    <row r="1120" spans="1:17">
      <c r="A1120" t="s">
        <v>1135</v>
      </c>
      <c r="B1120" s="1">
        <v>45929</v>
      </c>
      <c r="C1120" t="s">
        <v>1691</v>
      </c>
      <c r="D1120" t="s">
        <v>1989</v>
      </c>
      <c r="E1120" t="s">
        <v>2113</v>
      </c>
      <c r="F1120" t="s">
        <v>2118</v>
      </c>
      <c r="G1120" t="s">
        <v>2126</v>
      </c>
      <c r="H1120" t="s">
        <v>2137</v>
      </c>
      <c r="I1120" t="s">
        <v>2143</v>
      </c>
      <c r="J1120" t="s">
        <v>2148</v>
      </c>
      <c r="K1120" t="s">
        <v>2156</v>
      </c>
      <c r="L1120" s="3">
        <v>1</v>
      </c>
      <c r="M1120" s="2">
        <v>1248.48</v>
      </c>
      <c r="N1120" s="5">
        <v>0.1</v>
      </c>
      <c r="O1120" s="2">
        <v>1123.6300000000001</v>
      </c>
      <c r="P1120" s="2">
        <v>110.19</v>
      </c>
      <c r="Q1120" t="s">
        <v>2168</v>
      </c>
    </row>
    <row r="1121" spans="1:17">
      <c r="A1121" t="s">
        <v>1136</v>
      </c>
      <c r="B1121" s="1">
        <v>45930</v>
      </c>
      <c r="C1121" t="s">
        <v>1710</v>
      </c>
      <c r="D1121" t="s">
        <v>2008</v>
      </c>
      <c r="E1121" t="s">
        <v>2115</v>
      </c>
      <c r="F1121" t="s">
        <v>2117</v>
      </c>
      <c r="G1121" t="s">
        <v>2125</v>
      </c>
      <c r="H1121" t="s">
        <v>2136</v>
      </c>
      <c r="I1121" t="s">
        <v>2144</v>
      </c>
      <c r="J1121" t="s">
        <v>2150</v>
      </c>
      <c r="K1121" t="s">
        <v>2159</v>
      </c>
      <c r="L1121" s="3">
        <v>3</v>
      </c>
      <c r="M1121" s="2">
        <v>467.81</v>
      </c>
      <c r="N1121" s="5">
        <v>0</v>
      </c>
      <c r="O1121" s="2">
        <v>1403.43</v>
      </c>
      <c r="P1121" s="2">
        <v>433.36</v>
      </c>
      <c r="Q1121" t="s">
        <v>2167</v>
      </c>
    </row>
    <row r="1122" spans="1:17">
      <c r="A1122" t="s">
        <v>1137</v>
      </c>
      <c r="B1122" s="1">
        <v>45930</v>
      </c>
      <c r="C1122" t="s">
        <v>1804</v>
      </c>
      <c r="D1122" t="s">
        <v>2102</v>
      </c>
      <c r="E1122" t="s">
        <v>2113</v>
      </c>
      <c r="F1122" t="s">
        <v>2118</v>
      </c>
      <c r="G1122" t="s">
        <v>2126</v>
      </c>
      <c r="H1122" t="s">
        <v>2137</v>
      </c>
      <c r="I1122" t="s">
        <v>2143</v>
      </c>
      <c r="J1122" t="s">
        <v>2148</v>
      </c>
      <c r="K1122" t="s">
        <v>2156</v>
      </c>
      <c r="L1122" s="3">
        <v>3</v>
      </c>
      <c r="M1122" s="2">
        <v>1229.1500000000001</v>
      </c>
      <c r="N1122" s="5">
        <v>0.05</v>
      </c>
      <c r="O1122" s="2">
        <v>3503.08</v>
      </c>
      <c r="P1122" s="2">
        <v>484.22</v>
      </c>
      <c r="Q1122" t="s">
        <v>2167</v>
      </c>
    </row>
    <row r="1123" spans="1:17">
      <c r="A1123" t="s">
        <v>1138</v>
      </c>
      <c r="B1123" s="1">
        <v>45930</v>
      </c>
      <c r="C1123" t="s">
        <v>1650</v>
      </c>
      <c r="D1123" t="s">
        <v>1948</v>
      </c>
      <c r="E1123" t="s">
        <v>2115</v>
      </c>
      <c r="F1123" t="s">
        <v>2117</v>
      </c>
      <c r="G1123" t="s">
        <v>2121</v>
      </c>
      <c r="H1123" t="s">
        <v>2132</v>
      </c>
      <c r="I1123" t="s">
        <v>2143</v>
      </c>
      <c r="J1123" t="s">
        <v>2148</v>
      </c>
      <c r="K1123" t="s">
        <v>2161</v>
      </c>
      <c r="L1123" s="3">
        <v>1</v>
      </c>
      <c r="M1123" s="2">
        <v>1830.81</v>
      </c>
      <c r="N1123" s="5">
        <v>0</v>
      </c>
      <c r="O1123" s="2">
        <v>1830.81</v>
      </c>
      <c r="P1123" s="2">
        <v>238.39</v>
      </c>
      <c r="Q1123" t="s">
        <v>2170</v>
      </c>
    </row>
    <row r="1124" spans="1:17">
      <c r="A1124" t="s">
        <v>1139</v>
      </c>
      <c r="B1124" s="1">
        <v>45930</v>
      </c>
      <c r="C1124" t="s">
        <v>1767</v>
      </c>
      <c r="D1124" t="s">
        <v>2065</v>
      </c>
      <c r="E1124" t="s">
        <v>2113</v>
      </c>
      <c r="F1124" t="s">
        <v>2118</v>
      </c>
      <c r="G1124" t="s">
        <v>2128</v>
      </c>
      <c r="H1124" t="s">
        <v>2128</v>
      </c>
      <c r="I1124" t="s">
        <v>2143</v>
      </c>
      <c r="J1124" t="s">
        <v>2146</v>
      </c>
      <c r="K1124" t="s">
        <v>2154</v>
      </c>
      <c r="L1124" s="3">
        <v>4</v>
      </c>
      <c r="M1124" s="2">
        <v>39944.81</v>
      </c>
      <c r="N1124" s="5">
        <v>0.2</v>
      </c>
      <c r="O1124" s="2">
        <v>127823.39</v>
      </c>
      <c r="P1124" s="2">
        <v>16175</v>
      </c>
      <c r="Q1124" t="s">
        <v>2170</v>
      </c>
    </row>
    <row r="1125" spans="1:17">
      <c r="A1125" t="s">
        <v>1140</v>
      </c>
      <c r="B1125" s="1">
        <v>45930</v>
      </c>
      <c r="C1125" t="s">
        <v>1811</v>
      </c>
      <c r="D1125" t="s">
        <v>2109</v>
      </c>
      <c r="E1125" t="s">
        <v>2114</v>
      </c>
      <c r="F1125" t="s">
        <v>2117</v>
      </c>
      <c r="G1125" t="s">
        <v>2125</v>
      </c>
      <c r="H1125" t="s">
        <v>2136</v>
      </c>
      <c r="I1125" t="s">
        <v>2144</v>
      </c>
      <c r="J1125" t="s">
        <v>2152</v>
      </c>
      <c r="K1125" t="s">
        <v>2162</v>
      </c>
      <c r="L1125" s="3">
        <v>2</v>
      </c>
      <c r="M1125" s="2">
        <v>341.92</v>
      </c>
      <c r="N1125" s="5">
        <v>0</v>
      </c>
      <c r="O1125" s="2">
        <v>683.84</v>
      </c>
      <c r="P1125" s="2">
        <v>154.18</v>
      </c>
      <c r="Q1125" t="s">
        <v>2168</v>
      </c>
    </row>
    <row r="1126" spans="1:17">
      <c r="A1126" t="s">
        <v>1141</v>
      </c>
      <c r="B1126" s="1">
        <v>45931</v>
      </c>
      <c r="C1126" t="s">
        <v>1568</v>
      </c>
      <c r="D1126" t="s">
        <v>1866</v>
      </c>
      <c r="E1126" t="s">
        <v>2113</v>
      </c>
      <c r="F1126" t="s">
        <v>2117</v>
      </c>
      <c r="G1126" t="s">
        <v>2121</v>
      </c>
      <c r="H1126" t="s">
        <v>2132</v>
      </c>
      <c r="I1126" t="s">
        <v>2142</v>
      </c>
      <c r="J1126" t="s">
        <v>2145</v>
      </c>
      <c r="K1126" t="s">
        <v>2165</v>
      </c>
      <c r="L1126" s="3">
        <v>1</v>
      </c>
      <c r="M1126" s="2">
        <v>6376.74</v>
      </c>
      <c r="N1126" s="5">
        <v>0.15</v>
      </c>
      <c r="O1126" s="2">
        <v>5420.23</v>
      </c>
      <c r="P1126" s="2">
        <v>961.55</v>
      </c>
      <c r="Q1126" t="s">
        <v>2169</v>
      </c>
    </row>
    <row r="1127" spans="1:17">
      <c r="A1127" t="s">
        <v>1142</v>
      </c>
      <c r="B1127" s="1">
        <v>45931</v>
      </c>
      <c r="C1127" t="s">
        <v>1536</v>
      </c>
      <c r="D1127" t="s">
        <v>1834</v>
      </c>
      <c r="E1127" t="s">
        <v>2114</v>
      </c>
      <c r="F1127" t="s">
        <v>2116</v>
      </c>
      <c r="G1127" t="s">
        <v>2120</v>
      </c>
      <c r="H1127" t="s">
        <v>2131</v>
      </c>
      <c r="I1127" t="s">
        <v>2143</v>
      </c>
      <c r="J1127" t="s">
        <v>2146</v>
      </c>
      <c r="K1127" t="s">
        <v>2154</v>
      </c>
      <c r="L1127" s="3">
        <v>2</v>
      </c>
      <c r="M1127" s="2">
        <v>40536.76</v>
      </c>
      <c r="N1127" s="5">
        <v>0</v>
      </c>
      <c r="O1127" s="2">
        <v>81073.52</v>
      </c>
      <c r="P1127" s="2">
        <v>7531.02</v>
      </c>
      <c r="Q1127" t="s">
        <v>2170</v>
      </c>
    </row>
    <row r="1128" spans="1:17">
      <c r="A1128" t="s">
        <v>1143</v>
      </c>
      <c r="B1128" s="1">
        <v>45931</v>
      </c>
      <c r="C1128" t="s">
        <v>1752</v>
      </c>
      <c r="D1128" t="s">
        <v>2050</v>
      </c>
      <c r="E1128" t="s">
        <v>2113</v>
      </c>
      <c r="F1128" t="s">
        <v>2118</v>
      </c>
      <c r="G1128" t="s">
        <v>2122</v>
      </c>
      <c r="H1128" t="s">
        <v>2133</v>
      </c>
      <c r="I1128" t="s">
        <v>2142</v>
      </c>
      <c r="J1128" t="s">
        <v>2147</v>
      </c>
      <c r="K1128" t="s">
        <v>2157</v>
      </c>
      <c r="L1128" s="3">
        <v>2</v>
      </c>
      <c r="M1128" s="2">
        <v>14451.81</v>
      </c>
      <c r="N1128" s="5">
        <v>0.2</v>
      </c>
      <c r="O1128" s="2">
        <v>23122.9</v>
      </c>
      <c r="P1128" s="2">
        <v>4707.25</v>
      </c>
      <c r="Q1128" t="s">
        <v>2170</v>
      </c>
    </row>
    <row r="1129" spans="1:17">
      <c r="A1129" t="s">
        <v>1144</v>
      </c>
      <c r="B1129" s="1">
        <v>45932</v>
      </c>
      <c r="C1129" t="s">
        <v>1701</v>
      </c>
      <c r="D1129" t="s">
        <v>1999</v>
      </c>
      <c r="E1129" t="s">
        <v>2114</v>
      </c>
      <c r="F1129" t="s">
        <v>2118</v>
      </c>
      <c r="G1129" t="s">
        <v>2122</v>
      </c>
      <c r="H1129" t="s">
        <v>2133</v>
      </c>
      <c r="I1129" t="s">
        <v>2144</v>
      </c>
      <c r="J1129" t="s">
        <v>2152</v>
      </c>
      <c r="K1129" t="s">
        <v>2166</v>
      </c>
      <c r="L1129" s="3">
        <v>1</v>
      </c>
      <c r="M1129" s="2">
        <v>594.44000000000005</v>
      </c>
      <c r="N1129" s="5">
        <v>0.05</v>
      </c>
      <c r="O1129" s="2">
        <v>564.72</v>
      </c>
      <c r="P1129" s="2">
        <v>154.44</v>
      </c>
      <c r="Q1129" t="s">
        <v>2170</v>
      </c>
    </row>
    <row r="1130" spans="1:17">
      <c r="A1130" t="s">
        <v>1145</v>
      </c>
      <c r="B1130" s="1">
        <v>45932</v>
      </c>
      <c r="C1130" t="s">
        <v>1655</v>
      </c>
      <c r="D1130" t="s">
        <v>1953</v>
      </c>
      <c r="E1130" t="s">
        <v>2114</v>
      </c>
      <c r="F1130" t="s">
        <v>2118</v>
      </c>
      <c r="G1130" t="s">
        <v>2122</v>
      </c>
      <c r="H1130" t="s">
        <v>2133</v>
      </c>
      <c r="I1130" t="s">
        <v>2144</v>
      </c>
      <c r="J1130" t="s">
        <v>2152</v>
      </c>
      <c r="K1130" t="s">
        <v>2166</v>
      </c>
      <c r="L1130" s="3">
        <v>1</v>
      </c>
      <c r="M1130" s="2">
        <v>574.34</v>
      </c>
      <c r="N1130" s="5">
        <v>0.15</v>
      </c>
      <c r="O1130" s="2">
        <v>488.19</v>
      </c>
      <c r="P1130" s="2">
        <v>141.83000000000001</v>
      </c>
      <c r="Q1130" t="s">
        <v>2168</v>
      </c>
    </row>
    <row r="1131" spans="1:17">
      <c r="A1131" t="s">
        <v>1146</v>
      </c>
      <c r="B1131" s="1">
        <v>45932</v>
      </c>
      <c r="C1131" t="s">
        <v>1694</v>
      </c>
      <c r="D1131" t="s">
        <v>1992</v>
      </c>
      <c r="E1131" t="s">
        <v>2115</v>
      </c>
      <c r="F1131" t="s">
        <v>2118</v>
      </c>
      <c r="G1131" t="s">
        <v>2122</v>
      </c>
      <c r="H1131" t="s">
        <v>2133</v>
      </c>
      <c r="I1131" t="s">
        <v>2144</v>
      </c>
      <c r="J1131" t="s">
        <v>2152</v>
      </c>
      <c r="K1131" t="s">
        <v>2162</v>
      </c>
      <c r="L1131" s="3">
        <v>1</v>
      </c>
      <c r="M1131" s="2">
        <v>342.2</v>
      </c>
      <c r="N1131" s="5">
        <v>0.1</v>
      </c>
      <c r="O1131" s="2">
        <v>307.98</v>
      </c>
      <c r="P1131" s="2">
        <v>94.05</v>
      </c>
      <c r="Q1131" t="s">
        <v>2169</v>
      </c>
    </row>
    <row r="1132" spans="1:17">
      <c r="A1132" t="s">
        <v>1147</v>
      </c>
      <c r="B1132" s="1">
        <v>45932</v>
      </c>
      <c r="C1132" t="s">
        <v>1701</v>
      </c>
      <c r="D1132" t="s">
        <v>1999</v>
      </c>
      <c r="E1132" t="s">
        <v>2114</v>
      </c>
      <c r="F1132" t="s">
        <v>2118</v>
      </c>
      <c r="G1132" t="s">
        <v>2128</v>
      </c>
      <c r="H1132" t="s">
        <v>2128</v>
      </c>
      <c r="I1132" t="s">
        <v>2144</v>
      </c>
      <c r="J1132" t="s">
        <v>2147</v>
      </c>
      <c r="K1132" t="s">
        <v>2155</v>
      </c>
      <c r="L1132" s="3">
        <v>3</v>
      </c>
      <c r="M1132" s="2">
        <v>715.52</v>
      </c>
      <c r="N1132" s="5">
        <v>0</v>
      </c>
      <c r="O1132" s="2">
        <v>2146.56</v>
      </c>
      <c r="P1132" s="2">
        <v>408.33</v>
      </c>
      <c r="Q1132" t="s">
        <v>2170</v>
      </c>
    </row>
    <row r="1133" spans="1:17">
      <c r="A1133" t="s">
        <v>1148</v>
      </c>
      <c r="B1133" s="1">
        <v>45932</v>
      </c>
      <c r="C1133" t="s">
        <v>1812</v>
      </c>
      <c r="D1133" t="s">
        <v>2110</v>
      </c>
      <c r="E1133" t="s">
        <v>2115</v>
      </c>
      <c r="F1133" t="s">
        <v>2119</v>
      </c>
      <c r="G1133" t="s">
        <v>2129</v>
      </c>
      <c r="H1133" t="s">
        <v>2139</v>
      </c>
      <c r="I1133" t="s">
        <v>2144</v>
      </c>
      <c r="J1133" t="s">
        <v>2150</v>
      </c>
      <c r="K1133" t="s">
        <v>2159</v>
      </c>
      <c r="L1133" s="3">
        <v>3</v>
      </c>
      <c r="M1133" s="2">
        <v>455.88</v>
      </c>
      <c r="N1133" s="5">
        <v>0.05</v>
      </c>
      <c r="O1133" s="2">
        <v>1299.26</v>
      </c>
      <c r="P1133" s="2">
        <v>370.66</v>
      </c>
      <c r="Q1133" t="s">
        <v>2169</v>
      </c>
    </row>
    <row r="1134" spans="1:17">
      <c r="A1134" t="s">
        <v>1149</v>
      </c>
      <c r="B1134" s="1">
        <v>45932</v>
      </c>
      <c r="C1134" t="s">
        <v>1630</v>
      </c>
      <c r="D1134" t="s">
        <v>1928</v>
      </c>
      <c r="E1134" t="s">
        <v>2114</v>
      </c>
      <c r="F1134" t="s">
        <v>2119</v>
      </c>
      <c r="G1134" t="s">
        <v>2124</v>
      </c>
      <c r="H1134" t="s">
        <v>2135</v>
      </c>
      <c r="I1134" t="s">
        <v>2144</v>
      </c>
      <c r="J1134" t="s">
        <v>2152</v>
      </c>
      <c r="K1134" t="s">
        <v>2166</v>
      </c>
      <c r="L1134" s="3">
        <v>1</v>
      </c>
      <c r="M1134" s="2">
        <v>600.24</v>
      </c>
      <c r="N1134" s="5">
        <v>0.1</v>
      </c>
      <c r="O1134" s="2">
        <v>540.22</v>
      </c>
      <c r="P1134" s="2">
        <v>96.67</v>
      </c>
      <c r="Q1134" t="s">
        <v>2170</v>
      </c>
    </row>
    <row r="1135" spans="1:17">
      <c r="A1135" t="s">
        <v>1150</v>
      </c>
      <c r="B1135" s="1">
        <v>45932</v>
      </c>
      <c r="C1135" t="s">
        <v>1711</v>
      </c>
      <c r="D1135" t="s">
        <v>2009</v>
      </c>
      <c r="E1135" t="s">
        <v>2113</v>
      </c>
      <c r="F1135" t="s">
        <v>2116</v>
      </c>
      <c r="G1135" t="s">
        <v>2127</v>
      </c>
      <c r="H1135" t="s">
        <v>2138</v>
      </c>
      <c r="I1135" t="s">
        <v>2142</v>
      </c>
      <c r="J1135" t="s">
        <v>2145</v>
      </c>
      <c r="K1135" t="s">
        <v>2165</v>
      </c>
      <c r="L1135" s="3">
        <v>2</v>
      </c>
      <c r="M1135" s="2">
        <v>6675.17</v>
      </c>
      <c r="N1135" s="5">
        <v>0.05</v>
      </c>
      <c r="O1135" s="2">
        <v>12682.82</v>
      </c>
      <c r="P1135" s="2">
        <v>1786.77</v>
      </c>
      <c r="Q1135" t="s">
        <v>2170</v>
      </c>
    </row>
    <row r="1136" spans="1:17">
      <c r="A1136" t="s">
        <v>1151</v>
      </c>
      <c r="B1136" s="1">
        <v>45933</v>
      </c>
      <c r="C1136" t="s">
        <v>1574</v>
      </c>
      <c r="D1136" t="s">
        <v>1872</v>
      </c>
      <c r="E1136" t="s">
        <v>2115</v>
      </c>
      <c r="F1136" t="s">
        <v>2116</v>
      </c>
      <c r="G1136" t="s">
        <v>2127</v>
      </c>
      <c r="H1136" t="s">
        <v>2138</v>
      </c>
      <c r="I1136" t="s">
        <v>2142</v>
      </c>
      <c r="J1136" t="s">
        <v>2147</v>
      </c>
      <c r="K1136" t="s">
        <v>2157</v>
      </c>
      <c r="L1136" s="3">
        <v>3</v>
      </c>
      <c r="M1136" s="2">
        <v>13810.97</v>
      </c>
      <c r="N1136" s="5">
        <v>0</v>
      </c>
      <c r="O1136" s="2">
        <v>41432.910000000003</v>
      </c>
      <c r="P1136" s="2">
        <v>7516.09</v>
      </c>
      <c r="Q1136" t="s">
        <v>2169</v>
      </c>
    </row>
    <row r="1137" spans="1:17">
      <c r="A1137" t="s">
        <v>1152</v>
      </c>
      <c r="B1137" s="1">
        <v>45933</v>
      </c>
      <c r="C1137" t="s">
        <v>1793</v>
      </c>
      <c r="D1137" t="s">
        <v>2091</v>
      </c>
      <c r="E1137" t="s">
        <v>2113</v>
      </c>
      <c r="F1137" t="s">
        <v>2118</v>
      </c>
      <c r="G1137" t="s">
        <v>2122</v>
      </c>
      <c r="H1137" t="s">
        <v>2133</v>
      </c>
      <c r="I1137" t="s">
        <v>2143</v>
      </c>
      <c r="J1137" t="s">
        <v>2148</v>
      </c>
      <c r="K1137" t="s">
        <v>2156</v>
      </c>
      <c r="L1137" s="3">
        <v>2</v>
      </c>
      <c r="M1137" s="2">
        <v>1230.81</v>
      </c>
      <c r="N1137" s="5">
        <v>0.2</v>
      </c>
      <c r="O1137" s="2">
        <v>1969.3</v>
      </c>
      <c r="P1137" s="2">
        <v>170.45</v>
      </c>
      <c r="Q1137" t="s">
        <v>2170</v>
      </c>
    </row>
    <row r="1138" spans="1:17">
      <c r="A1138" t="s">
        <v>1153</v>
      </c>
      <c r="B1138" s="1">
        <v>45933</v>
      </c>
      <c r="C1138" t="s">
        <v>1777</v>
      </c>
      <c r="D1138" t="s">
        <v>2075</v>
      </c>
      <c r="E1138" t="s">
        <v>2115</v>
      </c>
      <c r="F1138" t="s">
        <v>2118</v>
      </c>
      <c r="G1138" t="s">
        <v>2126</v>
      </c>
      <c r="H1138" t="s">
        <v>2137</v>
      </c>
      <c r="I1138" t="s">
        <v>2144</v>
      </c>
      <c r="J1138" t="s">
        <v>2150</v>
      </c>
      <c r="K1138" t="s">
        <v>2159</v>
      </c>
      <c r="L1138" s="3">
        <v>1</v>
      </c>
      <c r="M1138" s="2">
        <v>428.12</v>
      </c>
      <c r="N1138" s="5">
        <v>0.05</v>
      </c>
      <c r="O1138" s="2">
        <v>406.71</v>
      </c>
      <c r="P1138" s="2">
        <v>64.3</v>
      </c>
      <c r="Q1138" t="s">
        <v>2168</v>
      </c>
    </row>
    <row r="1139" spans="1:17">
      <c r="A1139" t="s">
        <v>1154</v>
      </c>
      <c r="B1139" s="1">
        <v>45934</v>
      </c>
      <c r="C1139" t="s">
        <v>1730</v>
      </c>
      <c r="D1139" t="s">
        <v>2028</v>
      </c>
      <c r="E1139" t="s">
        <v>2114</v>
      </c>
      <c r="F1139" t="s">
        <v>2118</v>
      </c>
      <c r="G1139" t="s">
        <v>2128</v>
      </c>
      <c r="H1139" t="s">
        <v>2128</v>
      </c>
      <c r="I1139" t="s">
        <v>2142</v>
      </c>
      <c r="J1139" t="s">
        <v>2145</v>
      </c>
      <c r="K1139" t="s">
        <v>2153</v>
      </c>
      <c r="L1139" s="3">
        <v>5</v>
      </c>
      <c r="M1139" s="2">
        <v>11434.79</v>
      </c>
      <c r="N1139" s="5">
        <v>0.15</v>
      </c>
      <c r="O1139" s="2">
        <v>48597.86</v>
      </c>
      <c r="P1139" s="2">
        <v>10894.62</v>
      </c>
      <c r="Q1139" t="s">
        <v>2168</v>
      </c>
    </row>
    <row r="1140" spans="1:17">
      <c r="A1140" t="s">
        <v>1155</v>
      </c>
      <c r="B1140" s="1">
        <v>45934</v>
      </c>
      <c r="C1140" t="s">
        <v>1739</v>
      </c>
      <c r="D1140" t="s">
        <v>2037</v>
      </c>
      <c r="E1140" t="s">
        <v>2115</v>
      </c>
      <c r="F1140" t="s">
        <v>2117</v>
      </c>
      <c r="G1140" t="s">
        <v>2125</v>
      </c>
      <c r="H1140" t="s">
        <v>2136</v>
      </c>
      <c r="I1140" t="s">
        <v>2144</v>
      </c>
      <c r="J1140" t="s">
        <v>2152</v>
      </c>
      <c r="K1140" t="s">
        <v>2166</v>
      </c>
      <c r="L1140" s="3">
        <v>4</v>
      </c>
      <c r="M1140" s="2">
        <v>626.32000000000005</v>
      </c>
      <c r="N1140" s="5">
        <v>0.1</v>
      </c>
      <c r="O1140" s="2">
        <v>2254.75</v>
      </c>
      <c r="P1140" s="2">
        <v>630.66</v>
      </c>
      <c r="Q1140" t="s">
        <v>2169</v>
      </c>
    </row>
    <row r="1141" spans="1:17">
      <c r="A1141" t="s">
        <v>1156</v>
      </c>
      <c r="B1141" s="1">
        <v>45934</v>
      </c>
      <c r="C1141" t="s">
        <v>1551</v>
      </c>
      <c r="D1141" t="s">
        <v>1849</v>
      </c>
      <c r="E1141" t="s">
        <v>2115</v>
      </c>
      <c r="F1141" t="s">
        <v>2119</v>
      </c>
      <c r="G1141" t="s">
        <v>2129</v>
      </c>
      <c r="H1141" t="s">
        <v>2139</v>
      </c>
      <c r="I1141" t="s">
        <v>2142</v>
      </c>
      <c r="J1141" t="s">
        <v>2147</v>
      </c>
      <c r="K1141" t="s">
        <v>2157</v>
      </c>
      <c r="L1141" s="3">
        <v>2</v>
      </c>
      <c r="M1141" s="2">
        <v>14517.43</v>
      </c>
      <c r="N1141" s="5">
        <v>0</v>
      </c>
      <c r="O1141" s="2">
        <v>29034.86</v>
      </c>
      <c r="P1141" s="2">
        <v>6033.87</v>
      </c>
      <c r="Q1141" t="s">
        <v>2170</v>
      </c>
    </row>
    <row r="1142" spans="1:17">
      <c r="A1142" t="s">
        <v>1157</v>
      </c>
      <c r="B1142" s="1">
        <v>45934</v>
      </c>
      <c r="C1142" t="s">
        <v>1559</v>
      </c>
      <c r="D1142" t="s">
        <v>1857</v>
      </c>
      <c r="E1142" t="s">
        <v>2114</v>
      </c>
      <c r="F1142" t="s">
        <v>2118</v>
      </c>
      <c r="G1142" t="s">
        <v>2128</v>
      </c>
      <c r="H1142" t="s">
        <v>2128</v>
      </c>
      <c r="I1142" t="s">
        <v>2142</v>
      </c>
      <c r="J1142" t="s">
        <v>2151</v>
      </c>
      <c r="K1142" t="s">
        <v>2160</v>
      </c>
      <c r="L1142" s="3">
        <v>1</v>
      </c>
      <c r="M1142" s="2">
        <v>8244.65</v>
      </c>
      <c r="N1142" s="5">
        <v>0.1</v>
      </c>
      <c r="O1142" s="2">
        <v>7420.18</v>
      </c>
      <c r="P1142" s="2">
        <v>736.05</v>
      </c>
      <c r="Q1142" t="s">
        <v>2169</v>
      </c>
    </row>
    <row r="1143" spans="1:17">
      <c r="A1143" t="s">
        <v>1158</v>
      </c>
      <c r="B1143" s="1">
        <v>45934</v>
      </c>
      <c r="C1143" t="s">
        <v>1557</v>
      </c>
      <c r="D1143" t="s">
        <v>1855</v>
      </c>
      <c r="E1143" t="s">
        <v>2114</v>
      </c>
      <c r="F1143" t="s">
        <v>2118</v>
      </c>
      <c r="G1143" t="s">
        <v>2122</v>
      </c>
      <c r="H1143" t="s">
        <v>2133</v>
      </c>
      <c r="I1143" t="s">
        <v>2143</v>
      </c>
      <c r="J1143" t="s">
        <v>2148</v>
      </c>
      <c r="K1143" t="s">
        <v>2161</v>
      </c>
      <c r="L1143" s="3">
        <v>2</v>
      </c>
      <c r="M1143" s="2">
        <v>1722.9</v>
      </c>
      <c r="N1143" s="5">
        <v>0.05</v>
      </c>
      <c r="O1143" s="2">
        <v>3273.51</v>
      </c>
      <c r="P1143" s="2">
        <v>646.27</v>
      </c>
      <c r="Q1143" t="s">
        <v>2167</v>
      </c>
    </row>
    <row r="1144" spans="1:17">
      <c r="A1144" t="s">
        <v>1159</v>
      </c>
      <c r="B1144" s="1">
        <v>45934</v>
      </c>
      <c r="C1144" t="s">
        <v>1803</v>
      </c>
      <c r="D1144" t="s">
        <v>2101</v>
      </c>
      <c r="E1144" t="s">
        <v>2114</v>
      </c>
      <c r="F1144" t="s">
        <v>2116</v>
      </c>
      <c r="G1144" t="s">
        <v>2120</v>
      </c>
      <c r="H1144" t="s">
        <v>2131</v>
      </c>
      <c r="I1144" t="s">
        <v>2143</v>
      </c>
      <c r="J1144" t="s">
        <v>2146</v>
      </c>
      <c r="K1144" t="s">
        <v>2164</v>
      </c>
      <c r="L1144" s="3">
        <v>1</v>
      </c>
      <c r="M1144" s="2">
        <v>17549.919999999998</v>
      </c>
      <c r="N1144" s="5">
        <v>0.05</v>
      </c>
      <c r="O1144" s="2">
        <v>16672.419999999998</v>
      </c>
      <c r="P1144" s="2">
        <v>2340.91</v>
      </c>
      <c r="Q1144" t="s">
        <v>2167</v>
      </c>
    </row>
    <row r="1145" spans="1:17">
      <c r="A1145" t="s">
        <v>1160</v>
      </c>
      <c r="B1145" s="1">
        <v>45935</v>
      </c>
      <c r="C1145" t="s">
        <v>1589</v>
      </c>
      <c r="D1145" t="s">
        <v>1887</v>
      </c>
      <c r="E1145" t="s">
        <v>2114</v>
      </c>
      <c r="F1145" t="s">
        <v>2116</v>
      </c>
      <c r="G1145" t="s">
        <v>2127</v>
      </c>
      <c r="H1145" t="s">
        <v>2140</v>
      </c>
      <c r="I1145" t="s">
        <v>2143</v>
      </c>
      <c r="J1145" t="s">
        <v>2148</v>
      </c>
      <c r="K1145" t="s">
        <v>2156</v>
      </c>
      <c r="L1145" s="3">
        <v>1</v>
      </c>
      <c r="M1145" s="2">
        <v>1246.53</v>
      </c>
      <c r="N1145" s="5">
        <v>0.05</v>
      </c>
      <c r="O1145" s="2">
        <v>1184.2</v>
      </c>
      <c r="P1145" s="2">
        <v>125.14</v>
      </c>
      <c r="Q1145" t="s">
        <v>2170</v>
      </c>
    </row>
    <row r="1146" spans="1:17">
      <c r="A1146" t="s">
        <v>1161</v>
      </c>
      <c r="B1146" s="1">
        <v>45935</v>
      </c>
      <c r="C1146" t="s">
        <v>1605</v>
      </c>
      <c r="D1146" t="s">
        <v>1903</v>
      </c>
      <c r="E1146" t="s">
        <v>2113</v>
      </c>
      <c r="F1146" t="s">
        <v>2117</v>
      </c>
      <c r="G1146" t="s">
        <v>2125</v>
      </c>
      <c r="H1146" t="s">
        <v>2136</v>
      </c>
      <c r="I1146" t="s">
        <v>2142</v>
      </c>
      <c r="J1146" t="s">
        <v>2151</v>
      </c>
      <c r="K1146" t="s">
        <v>2160</v>
      </c>
      <c r="L1146" s="3">
        <v>4</v>
      </c>
      <c r="M1146" s="2">
        <v>8320.14</v>
      </c>
      <c r="N1146" s="5">
        <v>0.2</v>
      </c>
      <c r="O1146" s="2">
        <v>26624.45</v>
      </c>
      <c r="P1146" s="2">
        <v>6238.31</v>
      </c>
      <c r="Q1146" t="s">
        <v>2170</v>
      </c>
    </row>
    <row r="1147" spans="1:17">
      <c r="A1147" t="s">
        <v>1162</v>
      </c>
      <c r="B1147" s="1">
        <v>45935</v>
      </c>
      <c r="C1147" t="s">
        <v>1760</v>
      </c>
      <c r="D1147" t="s">
        <v>2058</v>
      </c>
      <c r="E1147" t="s">
        <v>2114</v>
      </c>
      <c r="F1147" t="s">
        <v>2117</v>
      </c>
      <c r="G1147" t="s">
        <v>2125</v>
      </c>
      <c r="H1147" t="s">
        <v>2136</v>
      </c>
      <c r="I1147" t="s">
        <v>2143</v>
      </c>
      <c r="J1147" t="s">
        <v>2148</v>
      </c>
      <c r="K1147" t="s">
        <v>2156</v>
      </c>
      <c r="L1147" s="3">
        <v>2</v>
      </c>
      <c r="M1147" s="2">
        <v>1247.28</v>
      </c>
      <c r="N1147" s="5">
        <v>0.15</v>
      </c>
      <c r="O1147" s="2">
        <v>2120.38</v>
      </c>
      <c r="P1147" s="2">
        <v>354.24</v>
      </c>
      <c r="Q1147" t="s">
        <v>2170</v>
      </c>
    </row>
    <row r="1148" spans="1:17">
      <c r="A1148" t="s">
        <v>1163</v>
      </c>
      <c r="B1148" s="1">
        <v>45935</v>
      </c>
      <c r="C1148" t="s">
        <v>1676</v>
      </c>
      <c r="D1148" t="s">
        <v>1974</v>
      </c>
      <c r="E1148" t="s">
        <v>2114</v>
      </c>
      <c r="F1148" t="s">
        <v>2116</v>
      </c>
      <c r="G1148" t="s">
        <v>2127</v>
      </c>
      <c r="H1148" t="s">
        <v>2138</v>
      </c>
      <c r="I1148" t="s">
        <v>2143</v>
      </c>
      <c r="J1148" t="s">
        <v>2149</v>
      </c>
      <c r="K1148" t="s">
        <v>2163</v>
      </c>
      <c r="L1148" s="3">
        <v>1</v>
      </c>
      <c r="M1148" s="2">
        <v>64760.800000000003</v>
      </c>
      <c r="N1148" s="5">
        <v>0.15</v>
      </c>
      <c r="O1148" s="2">
        <v>55046.68</v>
      </c>
      <c r="P1148" s="2">
        <v>5399.94</v>
      </c>
      <c r="Q1148" t="s">
        <v>2168</v>
      </c>
    </row>
    <row r="1149" spans="1:17">
      <c r="A1149" t="s">
        <v>1164</v>
      </c>
      <c r="B1149" s="1">
        <v>45935</v>
      </c>
      <c r="C1149" t="s">
        <v>1685</v>
      </c>
      <c r="D1149" t="s">
        <v>1983</v>
      </c>
      <c r="E1149" t="s">
        <v>2114</v>
      </c>
      <c r="F1149" t="s">
        <v>2118</v>
      </c>
      <c r="G1149" t="s">
        <v>2122</v>
      </c>
      <c r="H1149" t="s">
        <v>2133</v>
      </c>
      <c r="I1149" t="s">
        <v>2142</v>
      </c>
      <c r="J1149" t="s">
        <v>2145</v>
      </c>
      <c r="K1149" t="s">
        <v>2165</v>
      </c>
      <c r="L1149" s="3">
        <v>2</v>
      </c>
      <c r="M1149" s="2">
        <v>6175.15</v>
      </c>
      <c r="N1149" s="5">
        <v>0</v>
      </c>
      <c r="O1149" s="2">
        <v>12350.3</v>
      </c>
      <c r="P1149" s="2">
        <v>3290.12</v>
      </c>
      <c r="Q1149" t="s">
        <v>2169</v>
      </c>
    </row>
    <row r="1150" spans="1:17">
      <c r="A1150" t="s">
        <v>1165</v>
      </c>
      <c r="B1150" s="1">
        <v>45935</v>
      </c>
      <c r="C1150" t="s">
        <v>1595</v>
      </c>
      <c r="D1150" t="s">
        <v>1893</v>
      </c>
      <c r="E1150" t="s">
        <v>2115</v>
      </c>
      <c r="F1150" t="s">
        <v>2117</v>
      </c>
      <c r="G1150" t="s">
        <v>2123</v>
      </c>
      <c r="H1150" t="s">
        <v>2134</v>
      </c>
      <c r="I1150" t="s">
        <v>2143</v>
      </c>
      <c r="J1150" t="s">
        <v>2146</v>
      </c>
      <c r="K1150" t="s">
        <v>2164</v>
      </c>
      <c r="L1150" s="3">
        <v>2</v>
      </c>
      <c r="M1150" s="2">
        <v>18540.27</v>
      </c>
      <c r="N1150" s="5">
        <v>0.15</v>
      </c>
      <c r="O1150" s="2">
        <v>31518.46</v>
      </c>
      <c r="P1150" s="2">
        <v>5251.43</v>
      </c>
      <c r="Q1150" t="s">
        <v>2169</v>
      </c>
    </row>
    <row r="1151" spans="1:17">
      <c r="A1151" t="s">
        <v>1166</v>
      </c>
      <c r="B1151" s="1">
        <v>45935</v>
      </c>
      <c r="C1151" t="s">
        <v>1687</v>
      </c>
      <c r="D1151" t="s">
        <v>1985</v>
      </c>
      <c r="E1151" t="s">
        <v>2113</v>
      </c>
      <c r="F1151" t="s">
        <v>2118</v>
      </c>
      <c r="G1151" t="s">
        <v>2128</v>
      </c>
      <c r="H1151" t="s">
        <v>2128</v>
      </c>
      <c r="I1151" t="s">
        <v>2144</v>
      </c>
      <c r="J1151" t="s">
        <v>2152</v>
      </c>
      <c r="K1151" t="s">
        <v>2166</v>
      </c>
      <c r="L1151" s="3">
        <v>2</v>
      </c>
      <c r="M1151" s="2">
        <v>614.79</v>
      </c>
      <c r="N1151" s="5">
        <v>0.05</v>
      </c>
      <c r="O1151" s="2">
        <v>1168.0999999999999</v>
      </c>
      <c r="P1151" s="2">
        <v>367.07</v>
      </c>
      <c r="Q1151" t="s">
        <v>2170</v>
      </c>
    </row>
    <row r="1152" spans="1:17">
      <c r="A1152" t="s">
        <v>1167</v>
      </c>
      <c r="B1152" s="1">
        <v>45936</v>
      </c>
      <c r="C1152" t="s">
        <v>1794</v>
      </c>
      <c r="D1152" t="s">
        <v>2092</v>
      </c>
      <c r="E1152" t="s">
        <v>2114</v>
      </c>
      <c r="F1152" t="s">
        <v>2117</v>
      </c>
      <c r="G1152" t="s">
        <v>2123</v>
      </c>
      <c r="H1152" t="s">
        <v>2134</v>
      </c>
      <c r="I1152" t="s">
        <v>2143</v>
      </c>
      <c r="J1152" t="s">
        <v>2149</v>
      </c>
      <c r="K1152" t="s">
        <v>2163</v>
      </c>
      <c r="L1152" s="3">
        <v>2</v>
      </c>
      <c r="M1152" s="2">
        <v>67491.89</v>
      </c>
      <c r="N1152" s="5">
        <v>0.15</v>
      </c>
      <c r="O1152" s="2">
        <v>114736.21</v>
      </c>
      <c r="P1152" s="2">
        <v>8573.2199999999993</v>
      </c>
      <c r="Q1152" t="s">
        <v>2168</v>
      </c>
    </row>
    <row r="1153" spans="1:17">
      <c r="A1153" t="s">
        <v>1168</v>
      </c>
      <c r="B1153" s="1">
        <v>45936</v>
      </c>
      <c r="C1153" t="s">
        <v>1627</v>
      </c>
      <c r="D1153" t="s">
        <v>1925</v>
      </c>
      <c r="E1153" t="s">
        <v>2114</v>
      </c>
      <c r="F1153" t="s">
        <v>2117</v>
      </c>
      <c r="G1153" t="s">
        <v>2123</v>
      </c>
      <c r="H1153" t="s">
        <v>2134</v>
      </c>
      <c r="I1153" t="s">
        <v>2142</v>
      </c>
      <c r="J1153" t="s">
        <v>2147</v>
      </c>
      <c r="K1153" t="s">
        <v>2157</v>
      </c>
      <c r="L1153" s="3">
        <v>1</v>
      </c>
      <c r="M1153" s="2">
        <v>14549.86</v>
      </c>
      <c r="N1153" s="5">
        <v>0.05</v>
      </c>
      <c r="O1153" s="2">
        <v>13822.37</v>
      </c>
      <c r="P1153" s="2">
        <v>3361.52</v>
      </c>
      <c r="Q1153" t="s">
        <v>2168</v>
      </c>
    </row>
    <row r="1154" spans="1:17">
      <c r="A1154" t="s">
        <v>1169</v>
      </c>
      <c r="B1154" s="1">
        <v>45936</v>
      </c>
      <c r="C1154" t="s">
        <v>1771</v>
      </c>
      <c r="D1154" t="s">
        <v>2069</v>
      </c>
      <c r="E1154" t="s">
        <v>2113</v>
      </c>
      <c r="F1154" t="s">
        <v>2119</v>
      </c>
      <c r="G1154" t="s">
        <v>2129</v>
      </c>
      <c r="H1154" t="s">
        <v>2139</v>
      </c>
      <c r="I1154" t="s">
        <v>2143</v>
      </c>
      <c r="J1154" t="s">
        <v>2148</v>
      </c>
      <c r="K1154" t="s">
        <v>2161</v>
      </c>
      <c r="L1154" s="3">
        <v>1</v>
      </c>
      <c r="M1154" s="2">
        <v>1792.14</v>
      </c>
      <c r="N1154" s="5">
        <v>0</v>
      </c>
      <c r="O1154" s="2">
        <v>1792.14</v>
      </c>
      <c r="P1154" s="2">
        <v>240.17</v>
      </c>
      <c r="Q1154" t="s">
        <v>2169</v>
      </c>
    </row>
    <row r="1155" spans="1:17">
      <c r="A1155" t="s">
        <v>1170</v>
      </c>
      <c r="B1155" s="1">
        <v>45937</v>
      </c>
      <c r="C1155" t="s">
        <v>1531</v>
      </c>
      <c r="D1155" t="s">
        <v>1829</v>
      </c>
      <c r="E1155" t="s">
        <v>2114</v>
      </c>
      <c r="F1155" t="s">
        <v>2116</v>
      </c>
      <c r="G1155" t="s">
        <v>2127</v>
      </c>
      <c r="H1155" t="s">
        <v>2138</v>
      </c>
      <c r="I1155" t="s">
        <v>2144</v>
      </c>
      <c r="J1155" t="s">
        <v>2147</v>
      </c>
      <c r="K1155" t="s">
        <v>2155</v>
      </c>
      <c r="L1155" s="3">
        <v>3</v>
      </c>
      <c r="M1155" s="2">
        <v>760.44</v>
      </c>
      <c r="N1155" s="5">
        <v>0</v>
      </c>
      <c r="O1155" s="2">
        <v>2281.3200000000002</v>
      </c>
      <c r="P1155" s="2">
        <v>449.73</v>
      </c>
      <c r="Q1155" t="s">
        <v>2169</v>
      </c>
    </row>
    <row r="1156" spans="1:17">
      <c r="A1156" t="s">
        <v>1171</v>
      </c>
      <c r="B1156" s="1">
        <v>45937</v>
      </c>
      <c r="C1156" t="s">
        <v>1743</v>
      </c>
      <c r="D1156" t="s">
        <v>2041</v>
      </c>
      <c r="E1156" t="s">
        <v>2115</v>
      </c>
      <c r="F1156" t="s">
        <v>2118</v>
      </c>
      <c r="G1156" t="s">
        <v>2126</v>
      </c>
      <c r="H1156" t="s">
        <v>2137</v>
      </c>
      <c r="I1156" t="s">
        <v>2144</v>
      </c>
      <c r="J1156" t="s">
        <v>2152</v>
      </c>
      <c r="K1156" t="s">
        <v>2162</v>
      </c>
      <c r="L1156" s="3">
        <v>3</v>
      </c>
      <c r="M1156" s="2">
        <v>337.25</v>
      </c>
      <c r="N1156" s="5">
        <v>0.05</v>
      </c>
      <c r="O1156" s="2">
        <v>961.16</v>
      </c>
      <c r="P1156" s="2">
        <v>158.97999999999999</v>
      </c>
      <c r="Q1156" t="s">
        <v>2169</v>
      </c>
    </row>
    <row r="1157" spans="1:17">
      <c r="A1157" t="s">
        <v>1172</v>
      </c>
      <c r="B1157" s="1">
        <v>45937</v>
      </c>
      <c r="C1157" t="s">
        <v>1548</v>
      </c>
      <c r="D1157" t="s">
        <v>1846</v>
      </c>
      <c r="E1157" t="s">
        <v>2115</v>
      </c>
      <c r="F1157" t="s">
        <v>2118</v>
      </c>
      <c r="G1157" t="s">
        <v>2122</v>
      </c>
      <c r="H1157" t="s">
        <v>2133</v>
      </c>
      <c r="I1157" t="s">
        <v>2144</v>
      </c>
      <c r="J1157" t="s">
        <v>2152</v>
      </c>
      <c r="K1157" t="s">
        <v>2166</v>
      </c>
      <c r="L1157" s="3">
        <v>4</v>
      </c>
      <c r="M1157" s="2">
        <v>584.67999999999995</v>
      </c>
      <c r="N1157" s="5">
        <v>0.2</v>
      </c>
      <c r="O1157" s="2">
        <v>1870.98</v>
      </c>
      <c r="P1157" s="2">
        <v>264.18</v>
      </c>
      <c r="Q1157" t="s">
        <v>2167</v>
      </c>
    </row>
    <row r="1158" spans="1:17">
      <c r="A1158" t="s">
        <v>1173</v>
      </c>
      <c r="B1158" s="1">
        <v>45938</v>
      </c>
      <c r="C1158" t="s">
        <v>1772</v>
      </c>
      <c r="D1158" t="s">
        <v>2070</v>
      </c>
      <c r="E1158" t="s">
        <v>2114</v>
      </c>
      <c r="F1158" t="s">
        <v>2119</v>
      </c>
      <c r="G1158" t="s">
        <v>2130</v>
      </c>
      <c r="H1158" t="s">
        <v>2141</v>
      </c>
      <c r="I1158" t="s">
        <v>2143</v>
      </c>
      <c r="J1158" t="s">
        <v>2149</v>
      </c>
      <c r="K1158" t="s">
        <v>2158</v>
      </c>
      <c r="L1158" s="3">
        <v>3</v>
      </c>
      <c r="M1158" s="2">
        <v>46303.72</v>
      </c>
      <c r="N1158" s="5">
        <v>0.15</v>
      </c>
      <c r="O1158" s="2">
        <v>118074.49</v>
      </c>
      <c r="P1158" s="2">
        <v>6815.87</v>
      </c>
      <c r="Q1158" t="s">
        <v>2170</v>
      </c>
    </row>
    <row r="1159" spans="1:17">
      <c r="A1159" t="s">
        <v>1174</v>
      </c>
      <c r="B1159" s="1">
        <v>45938</v>
      </c>
      <c r="C1159" t="s">
        <v>1565</v>
      </c>
      <c r="D1159" t="s">
        <v>1863</v>
      </c>
      <c r="E1159" t="s">
        <v>2114</v>
      </c>
      <c r="F1159" t="s">
        <v>2119</v>
      </c>
      <c r="G1159" t="s">
        <v>2129</v>
      </c>
      <c r="H1159" t="s">
        <v>2139</v>
      </c>
      <c r="I1159" t="s">
        <v>2143</v>
      </c>
      <c r="J1159" t="s">
        <v>2148</v>
      </c>
      <c r="K1159" t="s">
        <v>2156</v>
      </c>
      <c r="L1159" s="3">
        <v>1</v>
      </c>
      <c r="M1159" s="2">
        <v>1189.1199999999999</v>
      </c>
      <c r="N1159" s="5">
        <v>0.2</v>
      </c>
      <c r="O1159" s="2">
        <v>951.3</v>
      </c>
      <c r="P1159" s="2">
        <v>144.41999999999999</v>
      </c>
      <c r="Q1159" t="s">
        <v>2170</v>
      </c>
    </row>
    <row r="1160" spans="1:17">
      <c r="A1160" t="s">
        <v>1175</v>
      </c>
      <c r="B1160" s="1">
        <v>45938</v>
      </c>
      <c r="C1160" t="s">
        <v>1623</v>
      </c>
      <c r="D1160" t="s">
        <v>1921</v>
      </c>
      <c r="E1160" t="s">
        <v>2113</v>
      </c>
      <c r="F1160" t="s">
        <v>2119</v>
      </c>
      <c r="G1160" t="s">
        <v>2130</v>
      </c>
      <c r="H1160" t="s">
        <v>2141</v>
      </c>
      <c r="I1160" t="s">
        <v>2144</v>
      </c>
      <c r="J1160" t="s">
        <v>2150</v>
      </c>
      <c r="K1160" t="s">
        <v>2159</v>
      </c>
      <c r="L1160" s="3">
        <v>2</v>
      </c>
      <c r="M1160" s="2">
        <v>453.39</v>
      </c>
      <c r="N1160" s="5">
        <v>0.1</v>
      </c>
      <c r="O1160" s="2">
        <v>816.1</v>
      </c>
      <c r="P1160" s="2">
        <v>178.66</v>
      </c>
      <c r="Q1160" t="s">
        <v>2170</v>
      </c>
    </row>
    <row r="1161" spans="1:17">
      <c r="A1161" t="s">
        <v>1176</v>
      </c>
      <c r="B1161" s="1">
        <v>45938</v>
      </c>
      <c r="C1161" t="s">
        <v>1686</v>
      </c>
      <c r="D1161" t="s">
        <v>1984</v>
      </c>
      <c r="E1161" t="s">
        <v>2114</v>
      </c>
      <c r="F1161" t="s">
        <v>2118</v>
      </c>
      <c r="G1161" t="s">
        <v>2128</v>
      </c>
      <c r="H1161" t="s">
        <v>2128</v>
      </c>
      <c r="I1161" t="s">
        <v>2143</v>
      </c>
      <c r="J1161" t="s">
        <v>2149</v>
      </c>
      <c r="K1161" t="s">
        <v>2158</v>
      </c>
      <c r="L1161" s="3">
        <v>1</v>
      </c>
      <c r="M1161" s="2">
        <v>48224.58</v>
      </c>
      <c r="N1161" s="5">
        <v>0.1</v>
      </c>
      <c r="O1161" s="2">
        <v>43402.12</v>
      </c>
      <c r="P1161" s="2">
        <v>7188.5</v>
      </c>
      <c r="Q1161" t="s">
        <v>2170</v>
      </c>
    </row>
    <row r="1162" spans="1:17">
      <c r="A1162" t="s">
        <v>1177</v>
      </c>
      <c r="B1162" s="1">
        <v>45938</v>
      </c>
      <c r="C1162" t="s">
        <v>1565</v>
      </c>
      <c r="D1162" t="s">
        <v>1863</v>
      </c>
      <c r="E1162" t="s">
        <v>2114</v>
      </c>
      <c r="F1162" t="s">
        <v>2118</v>
      </c>
      <c r="G1162" t="s">
        <v>2128</v>
      </c>
      <c r="H1162" t="s">
        <v>2128</v>
      </c>
      <c r="I1162" t="s">
        <v>2143</v>
      </c>
      <c r="J1162" t="s">
        <v>2149</v>
      </c>
      <c r="K1162" t="s">
        <v>2163</v>
      </c>
      <c r="L1162" s="3">
        <v>3</v>
      </c>
      <c r="M1162" s="2">
        <v>66334.34</v>
      </c>
      <c r="N1162" s="5">
        <v>0.05</v>
      </c>
      <c r="O1162" s="2">
        <v>189052.87</v>
      </c>
      <c r="P1162" s="2">
        <v>26952.15</v>
      </c>
      <c r="Q1162" t="s">
        <v>2167</v>
      </c>
    </row>
    <row r="1163" spans="1:17">
      <c r="A1163" t="s">
        <v>1178</v>
      </c>
      <c r="B1163" s="1">
        <v>45938</v>
      </c>
      <c r="C1163" t="s">
        <v>1581</v>
      </c>
      <c r="D1163" t="s">
        <v>1879</v>
      </c>
      <c r="E1163" t="s">
        <v>2114</v>
      </c>
      <c r="F1163" t="s">
        <v>2119</v>
      </c>
      <c r="G1163" t="s">
        <v>2124</v>
      </c>
      <c r="H1163" t="s">
        <v>2135</v>
      </c>
      <c r="I1163" t="s">
        <v>2144</v>
      </c>
      <c r="J1163" t="s">
        <v>2147</v>
      </c>
      <c r="K1163" t="s">
        <v>2155</v>
      </c>
      <c r="L1163" s="3">
        <v>3</v>
      </c>
      <c r="M1163" s="2">
        <v>732.75</v>
      </c>
      <c r="N1163" s="5">
        <v>0.05</v>
      </c>
      <c r="O1163" s="2">
        <v>2088.34</v>
      </c>
      <c r="P1163" s="2">
        <v>372.13</v>
      </c>
      <c r="Q1163" t="s">
        <v>2169</v>
      </c>
    </row>
    <row r="1164" spans="1:17">
      <c r="A1164" t="s">
        <v>1179</v>
      </c>
      <c r="B1164" s="1">
        <v>45938</v>
      </c>
      <c r="C1164" t="s">
        <v>1588</v>
      </c>
      <c r="D1164" t="s">
        <v>1886</v>
      </c>
      <c r="E1164" t="s">
        <v>2114</v>
      </c>
      <c r="F1164" t="s">
        <v>2119</v>
      </c>
      <c r="G1164" t="s">
        <v>2130</v>
      </c>
      <c r="H1164" t="s">
        <v>2141</v>
      </c>
      <c r="I1164" t="s">
        <v>2143</v>
      </c>
      <c r="J1164" t="s">
        <v>2148</v>
      </c>
      <c r="K1164" t="s">
        <v>2156</v>
      </c>
      <c r="L1164" s="3">
        <v>3</v>
      </c>
      <c r="M1164" s="2">
        <v>1257.07</v>
      </c>
      <c r="N1164" s="5">
        <v>0.05</v>
      </c>
      <c r="O1164" s="2">
        <v>3582.65</v>
      </c>
      <c r="P1164" s="2">
        <v>553.36</v>
      </c>
      <c r="Q1164" t="s">
        <v>2167</v>
      </c>
    </row>
    <row r="1165" spans="1:17">
      <c r="A1165" t="s">
        <v>1180</v>
      </c>
      <c r="B1165" s="1">
        <v>45938</v>
      </c>
      <c r="C1165" t="s">
        <v>1724</v>
      </c>
      <c r="D1165" t="s">
        <v>2022</v>
      </c>
      <c r="E1165" t="s">
        <v>2113</v>
      </c>
      <c r="F1165" t="s">
        <v>2116</v>
      </c>
      <c r="G1165" t="s">
        <v>2120</v>
      </c>
      <c r="H1165" t="s">
        <v>2131</v>
      </c>
      <c r="I1165" t="s">
        <v>2143</v>
      </c>
      <c r="J1165" t="s">
        <v>2148</v>
      </c>
      <c r="K1165" t="s">
        <v>2156</v>
      </c>
      <c r="L1165" s="3">
        <v>2</v>
      </c>
      <c r="M1165" s="2">
        <v>1158.19</v>
      </c>
      <c r="N1165" s="5">
        <v>0</v>
      </c>
      <c r="O1165" s="2">
        <v>2316.38</v>
      </c>
      <c r="P1165" s="2">
        <v>215.72</v>
      </c>
      <c r="Q1165" t="s">
        <v>2170</v>
      </c>
    </row>
    <row r="1166" spans="1:17">
      <c r="A1166" t="s">
        <v>1181</v>
      </c>
      <c r="B1166" s="1">
        <v>45938</v>
      </c>
      <c r="C1166" t="s">
        <v>1694</v>
      </c>
      <c r="D1166" t="s">
        <v>1992</v>
      </c>
      <c r="E1166" t="s">
        <v>2114</v>
      </c>
      <c r="F1166" t="s">
        <v>2118</v>
      </c>
      <c r="G1166" t="s">
        <v>2122</v>
      </c>
      <c r="H1166" t="s">
        <v>2133</v>
      </c>
      <c r="I1166" t="s">
        <v>2144</v>
      </c>
      <c r="J1166" t="s">
        <v>2152</v>
      </c>
      <c r="K1166" t="s">
        <v>2166</v>
      </c>
      <c r="L1166" s="3">
        <v>1</v>
      </c>
      <c r="M1166" s="2">
        <v>584.21</v>
      </c>
      <c r="N1166" s="5">
        <v>0</v>
      </c>
      <c r="O1166" s="2">
        <v>584.21</v>
      </c>
      <c r="P1166" s="2">
        <v>146.35</v>
      </c>
      <c r="Q1166" t="s">
        <v>2169</v>
      </c>
    </row>
    <row r="1167" spans="1:17">
      <c r="A1167" t="s">
        <v>1182</v>
      </c>
      <c r="B1167" s="1">
        <v>45938</v>
      </c>
      <c r="C1167" t="s">
        <v>1676</v>
      </c>
      <c r="D1167" t="s">
        <v>1974</v>
      </c>
      <c r="E1167" t="s">
        <v>2114</v>
      </c>
      <c r="F1167" t="s">
        <v>2118</v>
      </c>
      <c r="G1167" t="s">
        <v>2126</v>
      </c>
      <c r="H1167" t="s">
        <v>2137</v>
      </c>
      <c r="I1167" t="s">
        <v>2142</v>
      </c>
      <c r="J1167" t="s">
        <v>2151</v>
      </c>
      <c r="K1167" t="s">
        <v>2160</v>
      </c>
      <c r="L1167" s="3">
        <v>1</v>
      </c>
      <c r="M1167" s="2">
        <v>8734.93</v>
      </c>
      <c r="N1167" s="5">
        <v>0.05</v>
      </c>
      <c r="O1167" s="2">
        <v>8298.18</v>
      </c>
      <c r="P1167" s="2">
        <v>1678.67</v>
      </c>
      <c r="Q1167" t="s">
        <v>2168</v>
      </c>
    </row>
    <row r="1168" spans="1:17">
      <c r="A1168" t="s">
        <v>1183</v>
      </c>
      <c r="B1168" s="1">
        <v>45939</v>
      </c>
      <c r="C1168" t="s">
        <v>1541</v>
      </c>
      <c r="D1168" t="s">
        <v>1839</v>
      </c>
      <c r="E1168" t="s">
        <v>2115</v>
      </c>
      <c r="F1168" t="s">
        <v>2116</v>
      </c>
      <c r="G1168" t="s">
        <v>2120</v>
      </c>
      <c r="H1168" t="s">
        <v>2131</v>
      </c>
      <c r="I1168" t="s">
        <v>2144</v>
      </c>
      <c r="J1168" t="s">
        <v>2152</v>
      </c>
      <c r="K1168" t="s">
        <v>2162</v>
      </c>
      <c r="L1168" s="3">
        <v>1</v>
      </c>
      <c r="M1168" s="2">
        <v>351.36</v>
      </c>
      <c r="N1168" s="5">
        <v>0.1</v>
      </c>
      <c r="O1168" s="2">
        <v>316.22000000000003</v>
      </c>
      <c r="P1168" s="2">
        <v>42.65</v>
      </c>
      <c r="Q1168" t="s">
        <v>2167</v>
      </c>
    </row>
    <row r="1169" spans="1:17">
      <c r="A1169" t="s">
        <v>1184</v>
      </c>
      <c r="B1169" s="1">
        <v>45939</v>
      </c>
      <c r="C1169" t="s">
        <v>1631</v>
      </c>
      <c r="D1169" t="s">
        <v>1929</v>
      </c>
      <c r="E1169" t="s">
        <v>2114</v>
      </c>
      <c r="F1169" t="s">
        <v>2117</v>
      </c>
      <c r="G1169" t="s">
        <v>2125</v>
      </c>
      <c r="H1169" t="s">
        <v>2136</v>
      </c>
      <c r="I1169" t="s">
        <v>2142</v>
      </c>
      <c r="J1169" t="s">
        <v>2147</v>
      </c>
      <c r="K1169" t="s">
        <v>2157</v>
      </c>
      <c r="L1169" s="3">
        <v>3</v>
      </c>
      <c r="M1169" s="2">
        <v>15205.71</v>
      </c>
      <c r="N1169" s="5">
        <v>0</v>
      </c>
      <c r="O1169" s="2">
        <v>45617.13</v>
      </c>
      <c r="P1169" s="2">
        <v>9994.52</v>
      </c>
      <c r="Q1169" t="s">
        <v>2170</v>
      </c>
    </row>
    <row r="1170" spans="1:17">
      <c r="A1170" t="s">
        <v>1185</v>
      </c>
      <c r="B1170" s="1">
        <v>45939</v>
      </c>
      <c r="C1170" t="s">
        <v>1528</v>
      </c>
      <c r="D1170" t="s">
        <v>1826</v>
      </c>
      <c r="E1170" t="s">
        <v>2114</v>
      </c>
      <c r="F1170" t="s">
        <v>2117</v>
      </c>
      <c r="G1170" t="s">
        <v>2125</v>
      </c>
      <c r="H1170" t="s">
        <v>2136</v>
      </c>
      <c r="I1170" t="s">
        <v>2143</v>
      </c>
      <c r="J1170" t="s">
        <v>2146</v>
      </c>
      <c r="K1170" t="s">
        <v>2154</v>
      </c>
      <c r="L1170" s="3">
        <v>3</v>
      </c>
      <c r="M1170" s="2">
        <v>40933.599999999999</v>
      </c>
      <c r="N1170" s="5">
        <v>0.05</v>
      </c>
      <c r="O1170" s="2">
        <v>116660.76</v>
      </c>
      <c r="P1170" s="2">
        <v>17570.810000000001</v>
      </c>
      <c r="Q1170" t="s">
        <v>2168</v>
      </c>
    </row>
    <row r="1171" spans="1:17">
      <c r="A1171" t="s">
        <v>1186</v>
      </c>
      <c r="B1171" s="1">
        <v>45939</v>
      </c>
      <c r="C1171" t="s">
        <v>1567</v>
      </c>
      <c r="D1171" t="s">
        <v>1865</v>
      </c>
      <c r="E1171" t="s">
        <v>2114</v>
      </c>
      <c r="F1171" t="s">
        <v>2118</v>
      </c>
      <c r="G1171" t="s">
        <v>2128</v>
      </c>
      <c r="H1171" t="s">
        <v>2128</v>
      </c>
      <c r="I1171" t="s">
        <v>2142</v>
      </c>
      <c r="J1171" t="s">
        <v>2145</v>
      </c>
      <c r="K1171" t="s">
        <v>2153</v>
      </c>
      <c r="L1171" s="3">
        <v>4</v>
      </c>
      <c r="M1171" s="2">
        <v>12082.98</v>
      </c>
      <c r="N1171" s="5">
        <v>0.05</v>
      </c>
      <c r="O1171" s="2">
        <v>45915.32</v>
      </c>
      <c r="P1171" s="2">
        <v>11794.21</v>
      </c>
      <c r="Q1171" t="s">
        <v>2170</v>
      </c>
    </row>
    <row r="1172" spans="1:17">
      <c r="A1172" t="s">
        <v>1187</v>
      </c>
      <c r="B1172" s="1">
        <v>45940</v>
      </c>
      <c r="C1172" t="s">
        <v>1626</v>
      </c>
      <c r="D1172" t="s">
        <v>1924</v>
      </c>
      <c r="E1172" t="s">
        <v>2114</v>
      </c>
      <c r="F1172" t="s">
        <v>2116</v>
      </c>
      <c r="G1172" t="s">
        <v>2127</v>
      </c>
      <c r="H1172" t="s">
        <v>2138</v>
      </c>
      <c r="I1172" t="s">
        <v>2142</v>
      </c>
      <c r="J1172" t="s">
        <v>2147</v>
      </c>
      <c r="K1172" t="s">
        <v>2157</v>
      </c>
      <c r="L1172" s="3">
        <v>3</v>
      </c>
      <c r="M1172" s="2">
        <v>14095.85</v>
      </c>
      <c r="N1172" s="5">
        <v>0</v>
      </c>
      <c r="O1172" s="2">
        <v>42287.55</v>
      </c>
      <c r="P1172" s="2">
        <v>6166.65</v>
      </c>
      <c r="Q1172" t="s">
        <v>2169</v>
      </c>
    </row>
    <row r="1173" spans="1:17">
      <c r="A1173" t="s">
        <v>1188</v>
      </c>
      <c r="B1173" s="1">
        <v>45940</v>
      </c>
      <c r="C1173" t="s">
        <v>1768</v>
      </c>
      <c r="D1173" t="s">
        <v>2066</v>
      </c>
      <c r="E1173" t="s">
        <v>2115</v>
      </c>
      <c r="F1173" t="s">
        <v>2117</v>
      </c>
      <c r="G1173" t="s">
        <v>2125</v>
      </c>
      <c r="H1173" t="s">
        <v>2136</v>
      </c>
      <c r="I1173" t="s">
        <v>2143</v>
      </c>
      <c r="J1173" t="s">
        <v>2149</v>
      </c>
      <c r="K1173" t="s">
        <v>2158</v>
      </c>
      <c r="L1173" s="3">
        <v>4</v>
      </c>
      <c r="M1173" s="2">
        <v>49051.28</v>
      </c>
      <c r="N1173" s="5">
        <v>0.1</v>
      </c>
      <c r="O1173" s="2">
        <v>176584.61</v>
      </c>
      <c r="P1173" s="2">
        <v>29979.200000000001</v>
      </c>
      <c r="Q1173" t="s">
        <v>2168</v>
      </c>
    </row>
    <row r="1174" spans="1:17">
      <c r="A1174" t="s">
        <v>1189</v>
      </c>
      <c r="B1174" s="1">
        <v>45942</v>
      </c>
      <c r="C1174" t="s">
        <v>1777</v>
      </c>
      <c r="D1174" t="s">
        <v>2075</v>
      </c>
      <c r="E1174" t="s">
        <v>2115</v>
      </c>
      <c r="F1174" t="s">
        <v>2116</v>
      </c>
      <c r="G1174" t="s">
        <v>2120</v>
      </c>
      <c r="H1174" t="s">
        <v>2131</v>
      </c>
      <c r="I1174" t="s">
        <v>2143</v>
      </c>
      <c r="J1174" t="s">
        <v>2148</v>
      </c>
      <c r="K1174" t="s">
        <v>2156</v>
      </c>
      <c r="L1174" s="3">
        <v>1</v>
      </c>
      <c r="M1174" s="2">
        <v>1141.56</v>
      </c>
      <c r="N1174" s="5">
        <v>0</v>
      </c>
      <c r="O1174" s="2">
        <v>1141.56</v>
      </c>
      <c r="P1174" s="2">
        <v>93.59</v>
      </c>
      <c r="Q1174" t="s">
        <v>2168</v>
      </c>
    </row>
    <row r="1175" spans="1:17">
      <c r="A1175" t="s">
        <v>1190</v>
      </c>
      <c r="B1175" s="1">
        <v>45942</v>
      </c>
      <c r="C1175" t="s">
        <v>1803</v>
      </c>
      <c r="D1175" t="s">
        <v>2101</v>
      </c>
      <c r="E1175" t="s">
        <v>2114</v>
      </c>
      <c r="F1175" t="s">
        <v>2116</v>
      </c>
      <c r="G1175" t="s">
        <v>2127</v>
      </c>
      <c r="H1175" t="s">
        <v>2140</v>
      </c>
      <c r="I1175" t="s">
        <v>2144</v>
      </c>
      <c r="J1175" t="s">
        <v>2152</v>
      </c>
      <c r="K1175" t="s">
        <v>2162</v>
      </c>
      <c r="L1175" s="3">
        <v>1</v>
      </c>
      <c r="M1175" s="2">
        <v>363.8</v>
      </c>
      <c r="N1175" s="5">
        <v>0.15</v>
      </c>
      <c r="O1175" s="2">
        <v>309.23</v>
      </c>
      <c r="P1175" s="2">
        <v>82.26</v>
      </c>
      <c r="Q1175" t="s">
        <v>2169</v>
      </c>
    </row>
    <row r="1176" spans="1:17">
      <c r="A1176" t="s">
        <v>1191</v>
      </c>
      <c r="B1176" s="1">
        <v>45942</v>
      </c>
      <c r="C1176" t="s">
        <v>1550</v>
      </c>
      <c r="D1176" t="s">
        <v>1848</v>
      </c>
      <c r="E1176" t="s">
        <v>2115</v>
      </c>
      <c r="F1176" t="s">
        <v>2118</v>
      </c>
      <c r="G1176" t="s">
        <v>2128</v>
      </c>
      <c r="H1176" t="s">
        <v>2128</v>
      </c>
      <c r="I1176" t="s">
        <v>2142</v>
      </c>
      <c r="J1176" t="s">
        <v>2145</v>
      </c>
      <c r="K1176" t="s">
        <v>2165</v>
      </c>
      <c r="L1176" s="3">
        <v>3</v>
      </c>
      <c r="M1176" s="2">
        <v>6690.65</v>
      </c>
      <c r="N1176" s="5">
        <v>0.1</v>
      </c>
      <c r="O1176" s="2">
        <v>18064.75</v>
      </c>
      <c r="P1176" s="2">
        <v>3623.99</v>
      </c>
      <c r="Q1176" t="s">
        <v>2170</v>
      </c>
    </row>
    <row r="1177" spans="1:17">
      <c r="A1177" t="s">
        <v>1192</v>
      </c>
      <c r="B1177" s="1">
        <v>45943</v>
      </c>
      <c r="C1177" t="s">
        <v>1587</v>
      </c>
      <c r="D1177" t="s">
        <v>1885</v>
      </c>
      <c r="E1177" t="s">
        <v>2114</v>
      </c>
      <c r="F1177" t="s">
        <v>2117</v>
      </c>
      <c r="G1177" t="s">
        <v>2121</v>
      </c>
      <c r="H1177" t="s">
        <v>2132</v>
      </c>
      <c r="I1177" t="s">
        <v>2142</v>
      </c>
      <c r="J1177" t="s">
        <v>2151</v>
      </c>
      <c r="K1177" t="s">
        <v>2160</v>
      </c>
      <c r="L1177" s="3">
        <v>5</v>
      </c>
      <c r="M1177" s="2">
        <v>8833.24</v>
      </c>
      <c r="N1177" s="5">
        <v>0.05</v>
      </c>
      <c r="O1177" s="2">
        <v>41957.89</v>
      </c>
      <c r="P1177" s="2">
        <v>8645.2999999999993</v>
      </c>
      <c r="Q1177" t="s">
        <v>2167</v>
      </c>
    </row>
    <row r="1178" spans="1:17">
      <c r="A1178" t="s">
        <v>1193</v>
      </c>
      <c r="B1178" s="1">
        <v>45943</v>
      </c>
      <c r="C1178" t="s">
        <v>1666</v>
      </c>
      <c r="D1178" t="s">
        <v>1964</v>
      </c>
      <c r="E1178" t="s">
        <v>2114</v>
      </c>
      <c r="F1178" t="s">
        <v>2119</v>
      </c>
      <c r="G1178" t="s">
        <v>2124</v>
      </c>
      <c r="H1178" t="s">
        <v>2135</v>
      </c>
      <c r="I1178" t="s">
        <v>2142</v>
      </c>
      <c r="J1178" t="s">
        <v>2145</v>
      </c>
      <c r="K1178" t="s">
        <v>2165</v>
      </c>
      <c r="L1178" s="3">
        <v>3</v>
      </c>
      <c r="M1178" s="2">
        <v>6513.58</v>
      </c>
      <c r="N1178" s="5">
        <v>0</v>
      </c>
      <c r="O1178" s="2">
        <v>19540.740000000002</v>
      </c>
      <c r="P1178" s="2">
        <v>3811.41</v>
      </c>
      <c r="Q1178" t="s">
        <v>2169</v>
      </c>
    </row>
    <row r="1179" spans="1:17">
      <c r="A1179" t="s">
        <v>1194</v>
      </c>
      <c r="B1179" s="1">
        <v>45943</v>
      </c>
      <c r="C1179" t="s">
        <v>1641</v>
      </c>
      <c r="D1179" t="s">
        <v>1939</v>
      </c>
      <c r="E1179" t="s">
        <v>2113</v>
      </c>
      <c r="F1179" t="s">
        <v>2119</v>
      </c>
      <c r="G1179" t="s">
        <v>2124</v>
      </c>
      <c r="H1179" t="s">
        <v>2135</v>
      </c>
      <c r="I1179" t="s">
        <v>2143</v>
      </c>
      <c r="J1179" t="s">
        <v>2148</v>
      </c>
      <c r="K1179" t="s">
        <v>2156</v>
      </c>
      <c r="L1179" s="3">
        <v>3</v>
      </c>
      <c r="M1179" s="2">
        <v>1243.56</v>
      </c>
      <c r="N1179" s="5">
        <v>0.2</v>
      </c>
      <c r="O1179" s="2">
        <v>2984.54</v>
      </c>
      <c r="P1179" s="2">
        <v>357.23</v>
      </c>
      <c r="Q1179" t="s">
        <v>2167</v>
      </c>
    </row>
    <row r="1180" spans="1:17">
      <c r="A1180" t="s">
        <v>1195</v>
      </c>
      <c r="B1180" s="1">
        <v>45943</v>
      </c>
      <c r="C1180" t="s">
        <v>1697</v>
      </c>
      <c r="D1180" t="s">
        <v>1995</v>
      </c>
      <c r="E1180" t="s">
        <v>2114</v>
      </c>
      <c r="F1180" t="s">
        <v>2116</v>
      </c>
      <c r="G1180" t="s">
        <v>2127</v>
      </c>
      <c r="H1180" t="s">
        <v>2140</v>
      </c>
      <c r="I1180" t="s">
        <v>2142</v>
      </c>
      <c r="J1180" t="s">
        <v>2147</v>
      </c>
      <c r="K1180" t="s">
        <v>2157</v>
      </c>
      <c r="L1180" s="3">
        <v>1</v>
      </c>
      <c r="M1180" s="2">
        <v>14021.08</v>
      </c>
      <c r="N1180" s="5">
        <v>0.2</v>
      </c>
      <c r="O1180" s="2">
        <v>11216.86</v>
      </c>
      <c r="P1180" s="2">
        <v>497.5</v>
      </c>
      <c r="Q1180" t="s">
        <v>2168</v>
      </c>
    </row>
    <row r="1181" spans="1:17">
      <c r="A1181" t="s">
        <v>1196</v>
      </c>
      <c r="B1181" s="1">
        <v>45943</v>
      </c>
      <c r="C1181" t="s">
        <v>1729</v>
      </c>
      <c r="D1181" t="s">
        <v>2027</v>
      </c>
      <c r="E1181" t="s">
        <v>2115</v>
      </c>
      <c r="F1181" t="s">
        <v>2118</v>
      </c>
      <c r="G1181" t="s">
        <v>2126</v>
      </c>
      <c r="H1181" t="s">
        <v>2137</v>
      </c>
      <c r="I1181" t="s">
        <v>2143</v>
      </c>
      <c r="J1181" t="s">
        <v>2149</v>
      </c>
      <c r="K1181" t="s">
        <v>2163</v>
      </c>
      <c r="L1181" s="3">
        <v>2</v>
      </c>
      <c r="M1181" s="2">
        <v>62460.81</v>
      </c>
      <c r="N1181" s="5">
        <v>0.15</v>
      </c>
      <c r="O1181" s="2">
        <v>106183.38</v>
      </c>
      <c r="P1181" s="2">
        <v>11466.64</v>
      </c>
      <c r="Q1181" t="s">
        <v>2170</v>
      </c>
    </row>
    <row r="1182" spans="1:17">
      <c r="A1182" t="s">
        <v>1197</v>
      </c>
      <c r="B1182" s="1">
        <v>45944</v>
      </c>
      <c r="C1182" t="s">
        <v>1576</v>
      </c>
      <c r="D1182" t="s">
        <v>1874</v>
      </c>
      <c r="E1182" t="s">
        <v>2115</v>
      </c>
      <c r="F1182" t="s">
        <v>2116</v>
      </c>
      <c r="G1182" t="s">
        <v>2120</v>
      </c>
      <c r="H1182" t="s">
        <v>2131</v>
      </c>
      <c r="I1182" t="s">
        <v>2142</v>
      </c>
      <c r="J1182" t="s">
        <v>2151</v>
      </c>
      <c r="K1182" t="s">
        <v>2160</v>
      </c>
      <c r="L1182" s="3">
        <v>2</v>
      </c>
      <c r="M1182" s="2">
        <v>8880.68</v>
      </c>
      <c r="N1182" s="5">
        <v>0.15</v>
      </c>
      <c r="O1182" s="2">
        <v>15097.16</v>
      </c>
      <c r="P1182" s="2">
        <v>1494.21</v>
      </c>
      <c r="Q1182" t="s">
        <v>2168</v>
      </c>
    </row>
    <row r="1183" spans="1:17">
      <c r="A1183" t="s">
        <v>1198</v>
      </c>
      <c r="B1183" s="1">
        <v>45944</v>
      </c>
      <c r="C1183" t="s">
        <v>1796</v>
      </c>
      <c r="D1183" t="s">
        <v>2094</v>
      </c>
      <c r="E1183" t="s">
        <v>2114</v>
      </c>
      <c r="F1183" t="s">
        <v>2119</v>
      </c>
      <c r="G1183" t="s">
        <v>2129</v>
      </c>
      <c r="H1183" t="s">
        <v>2139</v>
      </c>
      <c r="I1183" t="s">
        <v>2142</v>
      </c>
      <c r="J1183" t="s">
        <v>2147</v>
      </c>
      <c r="K1183" t="s">
        <v>2157</v>
      </c>
      <c r="L1183" s="3">
        <v>1</v>
      </c>
      <c r="M1183" s="2">
        <v>14088.26</v>
      </c>
      <c r="N1183" s="5">
        <v>0.1</v>
      </c>
      <c r="O1183" s="2">
        <v>12679.43</v>
      </c>
      <c r="P1183" s="2">
        <v>2445.6</v>
      </c>
      <c r="Q1183" t="s">
        <v>2168</v>
      </c>
    </row>
    <row r="1184" spans="1:17">
      <c r="A1184" t="s">
        <v>1199</v>
      </c>
      <c r="B1184" s="1">
        <v>45944</v>
      </c>
      <c r="C1184" t="s">
        <v>1556</v>
      </c>
      <c r="D1184" t="s">
        <v>1854</v>
      </c>
      <c r="E1184" t="s">
        <v>2115</v>
      </c>
      <c r="F1184" t="s">
        <v>2118</v>
      </c>
      <c r="G1184" t="s">
        <v>2122</v>
      </c>
      <c r="H1184" t="s">
        <v>2133</v>
      </c>
      <c r="I1184" t="s">
        <v>2144</v>
      </c>
      <c r="J1184" t="s">
        <v>2150</v>
      </c>
      <c r="K1184" t="s">
        <v>2159</v>
      </c>
      <c r="L1184" s="3">
        <v>3</v>
      </c>
      <c r="M1184" s="2">
        <v>464.27</v>
      </c>
      <c r="N1184" s="5">
        <v>0.05</v>
      </c>
      <c r="O1184" s="2">
        <v>1323.17</v>
      </c>
      <c r="P1184" s="2">
        <v>294.64</v>
      </c>
      <c r="Q1184" t="s">
        <v>2169</v>
      </c>
    </row>
    <row r="1185" spans="1:17">
      <c r="A1185" t="s">
        <v>1200</v>
      </c>
      <c r="B1185" s="1">
        <v>45944</v>
      </c>
      <c r="C1185" t="s">
        <v>1788</v>
      </c>
      <c r="D1185" t="s">
        <v>2086</v>
      </c>
      <c r="E1185" t="s">
        <v>2115</v>
      </c>
      <c r="F1185" t="s">
        <v>2117</v>
      </c>
      <c r="G1185" t="s">
        <v>2125</v>
      </c>
      <c r="H1185" t="s">
        <v>2136</v>
      </c>
      <c r="I1185" t="s">
        <v>2142</v>
      </c>
      <c r="J1185" t="s">
        <v>2151</v>
      </c>
      <c r="K1185" t="s">
        <v>2160</v>
      </c>
      <c r="L1185" s="3">
        <v>1</v>
      </c>
      <c r="M1185" s="2">
        <v>8392.86</v>
      </c>
      <c r="N1185" s="5">
        <v>0.05</v>
      </c>
      <c r="O1185" s="2">
        <v>7973.22</v>
      </c>
      <c r="P1185" s="2">
        <v>2032.49</v>
      </c>
      <c r="Q1185" t="s">
        <v>2169</v>
      </c>
    </row>
    <row r="1186" spans="1:17">
      <c r="A1186" t="s">
        <v>1201</v>
      </c>
      <c r="B1186" s="1">
        <v>45944</v>
      </c>
      <c r="C1186" t="s">
        <v>1640</v>
      </c>
      <c r="D1186" t="s">
        <v>1938</v>
      </c>
      <c r="E1186" t="s">
        <v>2115</v>
      </c>
      <c r="F1186" t="s">
        <v>2117</v>
      </c>
      <c r="G1186" t="s">
        <v>2123</v>
      </c>
      <c r="H1186" t="s">
        <v>2134</v>
      </c>
      <c r="I1186" t="s">
        <v>2144</v>
      </c>
      <c r="J1186" t="s">
        <v>2152</v>
      </c>
      <c r="K1186" t="s">
        <v>2162</v>
      </c>
      <c r="L1186" s="3">
        <v>1</v>
      </c>
      <c r="M1186" s="2">
        <v>353.45</v>
      </c>
      <c r="N1186" s="5">
        <v>0.1</v>
      </c>
      <c r="O1186" s="2">
        <v>318.11</v>
      </c>
      <c r="P1186" s="2">
        <v>67.89</v>
      </c>
      <c r="Q1186" t="s">
        <v>2168</v>
      </c>
    </row>
    <row r="1187" spans="1:17">
      <c r="A1187" t="s">
        <v>1202</v>
      </c>
      <c r="B1187" s="1">
        <v>45944</v>
      </c>
      <c r="C1187" t="s">
        <v>1811</v>
      </c>
      <c r="D1187" t="s">
        <v>2109</v>
      </c>
      <c r="E1187" t="s">
        <v>2114</v>
      </c>
      <c r="F1187" t="s">
        <v>2117</v>
      </c>
      <c r="G1187" t="s">
        <v>2125</v>
      </c>
      <c r="H1187" t="s">
        <v>2136</v>
      </c>
      <c r="I1187" t="s">
        <v>2143</v>
      </c>
      <c r="J1187" t="s">
        <v>2149</v>
      </c>
      <c r="K1187" t="s">
        <v>2163</v>
      </c>
      <c r="L1187" s="3">
        <v>3</v>
      </c>
      <c r="M1187" s="2">
        <v>63786.6</v>
      </c>
      <c r="N1187" s="5">
        <v>0.05</v>
      </c>
      <c r="O1187" s="2">
        <v>181791.81</v>
      </c>
      <c r="P1187" s="2">
        <v>27866.25</v>
      </c>
      <c r="Q1187" t="s">
        <v>2168</v>
      </c>
    </row>
    <row r="1188" spans="1:17">
      <c r="A1188" t="s">
        <v>1203</v>
      </c>
      <c r="B1188" s="1">
        <v>45945</v>
      </c>
      <c r="C1188" t="s">
        <v>1808</v>
      </c>
      <c r="D1188" t="s">
        <v>2106</v>
      </c>
      <c r="E1188" t="s">
        <v>2114</v>
      </c>
      <c r="F1188" t="s">
        <v>2119</v>
      </c>
      <c r="G1188" t="s">
        <v>2124</v>
      </c>
      <c r="H1188" t="s">
        <v>2135</v>
      </c>
      <c r="I1188" t="s">
        <v>2142</v>
      </c>
      <c r="J1188" t="s">
        <v>2147</v>
      </c>
      <c r="K1188" t="s">
        <v>2157</v>
      </c>
      <c r="L1188" s="3">
        <v>3</v>
      </c>
      <c r="M1188" s="2">
        <v>14224.95</v>
      </c>
      <c r="N1188" s="5">
        <v>0</v>
      </c>
      <c r="O1188" s="2">
        <v>42674.85</v>
      </c>
      <c r="P1188" s="2">
        <v>8557.81</v>
      </c>
      <c r="Q1188" t="s">
        <v>2167</v>
      </c>
    </row>
    <row r="1189" spans="1:17">
      <c r="A1189" t="s">
        <v>1204</v>
      </c>
      <c r="B1189" s="1">
        <v>45945</v>
      </c>
      <c r="C1189" t="s">
        <v>1590</v>
      </c>
      <c r="D1189" t="s">
        <v>1888</v>
      </c>
      <c r="E1189" t="s">
        <v>2114</v>
      </c>
      <c r="F1189" t="s">
        <v>2117</v>
      </c>
      <c r="G1189" t="s">
        <v>2125</v>
      </c>
      <c r="H1189" t="s">
        <v>2136</v>
      </c>
      <c r="I1189" t="s">
        <v>2143</v>
      </c>
      <c r="J1189" t="s">
        <v>2148</v>
      </c>
      <c r="K1189" t="s">
        <v>2161</v>
      </c>
      <c r="L1189" s="3">
        <v>1</v>
      </c>
      <c r="M1189" s="2">
        <v>1853.45</v>
      </c>
      <c r="N1189" s="5">
        <v>0.05</v>
      </c>
      <c r="O1189" s="2">
        <v>1760.78</v>
      </c>
      <c r="P1189" s="2">
        <v>275.47000000000003</v>
      </c>
      <c r="Q1189" t="s">
        <v>2167</v>
      </c>
    </row>
    <row r="1190" spans="1:17">
      <c r="A1190" t="s">
        <v>1205</v>
      </c>
      <c r="B1190" s="1">
        <v>45945</v>
      </c>
      <c r="C1190" t="s">
        <v>1569</v>
      </c>
      <c r="D1190" t="s">
        <v>1867</v>
      </c>
      <c r="E1190" t="s">
        <v>2113</v>
      </c>
      <c r="F1190" t="s">
        <v>2116</v>
      </c>
      <c r="G1190" t="s">
        <v>2127</v>
      </c>
      <c r="H1190" t="s">
        <v>2140</v>
      </c>
      <c r="I1190" t="s">
        <v>2144</v>
      </c>
      <c r="J1190" t="s">
        <v>2152</v>
      </c>
      <c r="K1190" t="s">
        <v>2162</v>
      </c>
      <c r="L1190" s="3">
        <v>5</v>
      </c>
      <c r="M1190" s="2">
        <v>351.08</v>
      </c>
      <c r="N1190" s="5">
        <v>0</v>
      </c>
      <c r="O1190" s="2">
        <v>1755.4</v>
      </c>
      <c r="P1190" s="2">
        <v>491.85</v>
      </c>
      <c r="Q1190" t="s">
        <v>2170</v>
      </c>
    </row>
    <row r="1191" spans="1:17">
      <c r="A1191" t="s">
        <v>1206</v>
      </c>
      <c r="B1191" s="1">
        <v>45945</v>
      </c>
      <c r="C1191" t="s">
        <v>1602</v>
      </c>
      <c r="D1191" t="s">
        <v>1900</v>
      </c>
      <c r="E1191" t="s">
        <v>2114</v>
      </c>
      <c r="F1191" t="s">
        <v>2116</v>
      </c>
      <c r="G1191" t="s">
        <v>2120</v>
      </c>
      <c r="H1191" t="s">
        <v>2131</v>
      </c>
      <c r="I1191" t="s">
        <v>2142</v>
      </c>
      <c r="J1191" t="s">
        <v>2147</v>
      </c>
      <c r="K1191" t="s">
        <v>2157</v>
      </c>
      <c r="L1191" s="3">
        <v>3</v>
      </c>
      <c r="M1191" s="2">
        <v>14739.33</v>
      </c>
      <c r="N1191" s="5">
        <v>0.05</v>
      </c>
      <c r="O1191" s="2">
        <v>42007.09</v>
      </c>
      <c r="P1191" s="2">
        <v>8391.69</v>
      </c>
      <c r="Q1191" t="s">
        <v>2168</v>
      </c>
    </row>
    <row r="1192" spans="1:17">
      <c r="A1192" t="s">
        <v>1207</v>
      </c>
      <c r="B1192" s="1">
        <v>45947</v>
      </c>
      <c r="C1192" t="s">
        <v>1523</v>
      </c>
      <c r="D1192" t="s">
        <v>1821</v>
      </c>
      <c r="E1192" t="s">
        <v>2114</v>
      </c>
      <c r="F1192" t="s">
        <v>2116</v>
      </c>
      <c r="G1192" t="s">
        <v>2127</v>
      </c>
      <c r="H1192" t="s">
        <v>2138</v>
      </c>
      <c r="I1192" t="s">
        <v>2143</v>
      </c>
      <c r="J1192" t="s">
        <v>2148</v>
      </c>
      <c r="K1192" t="s">
        <v>2161</v>
      </c>
      <c r="L1192" s="3">
        <v>1</v>
      </c>
      <c r="M1192" s="2">
        <v>1861.69</v>
      </c>
      <c r="N1192" s="5">
        <v>0</v>
      </c>
      <c r="O1192" s="2">
        <v>1861.69</v>
      </c>
      <c r="P1192" s="2">
        <v>216.31</v>
      </c>
      <c r="Q1192" t="s">
        <v>2168</v>
      </c>
    </row>
    <row r="1193" spans="1:17">
      <c r="A1193" t="s">
        <v>1208</v>
      </c>
      <c r="B1193" s="1">
        <v>45948</v>
      </c>
      <c r="C1193" t="s">
        <v>1618</v>
      </c>
      <c r="D1193" t="s">
        <v>1916</v>
      </c>
      <c r="E1193" t="s">
        <v>2114</v>
      </c>
      <c r="F1193" t="s">
        <v>2116</v>
      </c>
      <c r="G1193" t="s">
        <v>2127</v>
      </c>
      <c r="H1193" t="s">
        <v>2138</v>
      </c>
      <c r="I1193" t="s">
        <v>2143</v>
      </c>
      <c r="J1193" t="s">
        <v>2148</v>
      </c>
      <c r="K1193" t="s">
        <v>2161</v>
      </c>
      <c r="L1193" s="3">
        <v>3</v>
      </c>
      <c r="M1193" s="2">
        <v>1867.03</v>
      </c>
      <c r="N1193" s="5">
        <v>0</v>
      </c>
      <c r="O1193" s="2">
        <v>5601.09</v>
      </c>
      <c r="P1193" s="2">
        <v>928.86</v>
      </c>
      <c r="Q1193" t="s">
        <v>2170</v>
      </c>
    </row>
    <row r="1194" spans="1:17">
      <c r="A1194" t="s">
        <v>1209</v>
      </c>
      <c r="B1194" s="1">
        <v>45948</v>
      </c>
      <c r="C1194" t="s">
        <v>1598</v>
      </c>
      <c r="D1194" t="s">
        <v>1896</v>
      </c>
      <c r="E1194" t="s">
        <v>2114</v>
      </c>
      <c r="F1194" t="s">
        <v>2116</v>
      </c>
      <c r="G1194" t="s">
        <v>2120</v>
      </c>
      <c r="H1194" t="s">
        <v>2131</v>
      </c>
      <c r="I1194" t="s">
        <v>2142</v>
      </c>
      <c r="J1194" t="s">
        <v>2151</v>
      </c>
      <c r="K1194" t="s">
        <v>2160</v>
      </c>
      <c r="L1194" s="3">
        <v>4</v>
      </c>
      <c r="M1194" s="2">
        <v>8911.5</v>
      </c>
      <c r="N1194" s="5">
        <v>0</v>
      </c>
      <c r="O1194" s="2">
        <v>35646</v>
      </c>
      <c r="P1194" s="2">
        <v>8476.64</v>
      </c>
      <c r="Q1194" t="s">
        <v>2167</v>
      </c>
    </row>
    <row r="1195" spans="1:17">
      <c r="A1195" t="s">
        <v>1210</v>
      </c>
      <c r="B1195" s="1">
        <v>45948</v>
      </c>
      <c r="C1195" t="s">
        <v>1719</v>
      </c>
      <c r="D1195" t="s">
        <v>2017</v>
      </c>
      <c r="E1195" t="s">
        <v>2114</v>
      </c>
      <c r="F1195" t="s">
        <v>2117</v>
      </c>
      <c r="G1195" t="s">
        <v>2123</v>
      </c>
      <c r="H1195" t="s">
        <v>2134</v>
      </c>
      <c r="I1195" t="s">
        <v>2142</v>
      </c>
      <c r="J1195" t="s">
        <v>2151</v>
      </c>
      <c r="K1195" t="s">
        <v>2160</v>
      </c>
      <c r="L1195" s="3">
        <v>1</v>
      </c>
      <c r="M1195" s="2">
        <v>8371.5300000000007</v>
      </c>
      <c r="N1195" s="5">
        <v>0</v>
      </c>
      <c r="O1195" s="2">
        <v>8371.5300000000007</v>
      </c>
      <c r="P1195" s="2">
        <v>2116.21</v>
      </c>
      <c r="Q1195" t="s">
        <v>2168</v>
      </c>
    </row>
    <row r="1196" spans="1:17">
      <c r="A1196" t="s">
        <v>1211</v>
      </c>
      <c r="B1196" s="1">
        <v>45948</v>
      </c>
      <c r="C1196" t="s">
        <v>1558</v>
      </c>
      <c r="D1196" t="s">
        <v>1856</v>
      </c>
      <c r="E1196" t="s">
        <v>2114</v>
      </c>
      <c r="F1196" t="s">
        <v>2118</v>
      </c>
      <c r="G1196" t="s">
        <v>2126</v>
      </c>
      <c r="H1196" t="s">
        <v>2137</v>
      </c>
      <c r="I1196" t="s">
        <v>2142</v>
      </c>
      <c r="J1196" t="s">
        <v>2145</v>
      </c>
      <c r="K1196" t="s">
        <v>2153</v>
      </c>
      <c r="L1196" s="3">
        <v>5</v>
      </c>
      <c r="M1196" s="2">
        <v>11495.98</v>
      </c>
      <c r="N1196" s="5">
        <v>0.05</v>
      </c>
      <c r="O1196" s="2">
        <v>54605.9</v>
      </c>
      <c r="P1196" s="2">
        <v>6661.25</v>
      </c>
      <c r="Q1196" t="s">
        <v>2168</v>
      </c>
    </row>
    <row r="1197" spans="1:17">
      <c r="A1197" t="s">
        <v>1212</v>
      </c>
      <c r="B1197" s="1">
        <v>45948</v>
      </c>
      <c r="C1197" t="s">
        <v>1701</v>
      </c>
      <c r="D1197" t="s">
        <v>1999</v>
      </c>
      <c r="E1197" t="s">
        <v>2114</v>
      </c>
      <c r="F1197" t="s">
        <v>2116</v>
      </c>
      <c r="G1197" t="s">
        <v>2120</v>
      </c>
      <c r="H1197" t="s">
        <v>2131</v>
      </c>
      <c r="I1197" t="s">
        <v>2143</v>
      </c>
      <c r="J1197" t="s">
        <v>2146</v>
      </c>
      <c r="K1197" t="s">
        <v>2154</v>
      </c>
      <c r="L1197" s="3">
        <v>5</v>
      </c>
      <c r="M1197" s="2">
        <v>41559.65</v>
      </c>
      <c r="N1197" s="5">
        <v>0.2</v>
      </c>
      <c r="O1197" s="2">
        <v>166238.6</v>
      </c>
      <c r="P1197" s="2">
        <v>24051.67</v>
      </c>
      <c r="Q1197" t="s">
        <v>2169</v>
      </c>
    </row>
    <row r="1198" spans="1:17">
      <c r="A1198" t="s">
        <v>1213</v>
      </c>
      <c r="B1198" s="1">
        <v>45948</v>
      </c>
      <c r="C1198" t="s">
        <v>1708</v>
      </c>
      <c r="D1198" t="s">
        <v>2006</v>
      </c>
      <c r="E1198" t="s">
        <v>2115</v>
      </c>
      <c r="F1198" t="s">
        <v>2119</v>
      </c>
      <c r="G1198" t="s">
        <v>2124</v>
      </c>
      <c r="H1198" t="s">
        <v>2135</v>
      </c>
      <c r="I1198" t="s">
        <v>2142</v>
      </c>
      <c r="J1198" t="s">
        <v>2145</v>
      </c>
      <c r="K1198" t="s">
        <v>2153</v>
      </c>
      <c r="L1198" s="3">
        <v>5</v>
      </c>
      <c r="M1198" s="2">
        <v>12232.22</v>
      </c>
      <c r="N1198" s="5">
        <v>0.05</v>
      </c>
      <c r="O1198" s="2">
        <v>58103.040000000001</v>
      </c>
      <c r="P1198" s="2">
        <v>6627.71</v>
      </c>
      <c r="Q1198" t="s">
        <v>2167</v>
      </c>
    </row>
    <row r="1199" spans="1:17">
      <c r="A1199" t="s">
        <v>1214</v>
      </c>
      <c r="B1199" s="1">
        <v>45948</v>
      </c>
      <c r="C1199" t="s">
        <v>1680</v>
      </c>
      <c r="D1199" t="s">
        <v>1978</v>
      </c>
      <c r="E1199" t="s">
        <v>2113</v>
      </c>
      <c r="F1199" t="s">
        <v>2116</v>
      </c>
      <c r="G1199" t="s">
        <v>2120</v>
      </c>
      <c r="H1199" t="s">
        <v>2131</v>
      </c>
      <c r="I1199" t="s">
        <v>2142</v>
      </c>
      <c r="J1199" t="s">
        <v>2145</v>
      </c>
      <c r="K1199" t="s">
        <v>2153</v>
      </c>
      <c r="L1199" s="3">
        <v>3</v>
      </c>
      <c r="M1199" s="2">
        <v>11865.48</v>
      </c>
      <c r="N1199" s="5">
        <v>0.05</v>
      </c>
      <c r="O1199" s="2">
        <v>33816.620000000003</v>
      </c>
      <c r="P1199" s="2">
        <v>5652.55</v>
      </c>
      <c r="Q1199" t="s">
        <v>2168</v>
      </c>
    </row>
    <row r="1200" spans="1:17">
      <c r="A1200" t="s">
        <v>1215</v>
      </c>
      <c r="B1200" s="1">
        <v>45949</v>
      </c>
      <c r="C1200" t="s">
        <v>1633</v>
      </c>
      <c r="D1200" t="s">
        <v>1931</v>
      </c>
      <c r="E1200" t="s">
        <v>2114</v>
      </c>
      <c r="F1200" t="s">
        <v>2118</v>
      </c>
      <c r="G1200" t="s">
        <v>2126</v>
      </c>
      <c r="H1200" t="s">
        <v>2137</v>
      </c>
      <c r="I1200" t="s">
        <v>2143</v>
      </c>
      <c r="J1200" t="s">
        <v>2146</v>
      </c>
      <c r="K1200" t="s">
        <v>2154</v>
      </c>
      <c r="L1200" s="3">
        <v>1</v>
      </c>
      <c r="M1200" s="2">
        <v>43727.23</v>
      </c>
      <c r="N1200" s="5">
        <v>0.1</v>
      </c>
      <c r="O1200" s="2">
        <v>39354.51</v>
      </c>
      <c r="P1200" s="2">
        <v>3009.3</v>
      </c>
      <c r="Q1200" t="s">
        <v>2167</v>
      </c>
    </row>
    <row r="1201" spans="1:17">
      <c r="A1201" t="s">
        <v>1216</v>
      </c>
      <c r="B1201" s="1">
        <v>45950</v>
      </c>
      <c r="C1201" t="s">
        <v>1544</v>
      </c>
      <c r="D1201" t="s">
        <v>1842</v>
      </c>
      <c r="E1201" t="s">
        <v>2114</v>
      </c>
      <c r="F1201" t="s">
        <v>2119</v>
      </c>
      <c r="G1201" t="s">
        <v>2130</v>
      </c>
      <c r="H1201" t="s">
        <v>2141</v>
      </c>
      <c r="I1201" t="s">
        <v>2143</v>
      </c>
      <c r="J1201" t="s">
        <v>2146</v>
      </c>
      <c r="K1201" t="s">
        <v>2164</v>
      </c>
      <c r="L1201" s="3">
        <v>1</v>
      </c>
      <c r="M1201" s="2">
        <v>17951.21</v>
      </c>
      <c r="N1201" s="5">
        <v>0.15</v>
      </c>
      <c r="O1201" s="2">
        <v>15258.53</v>
      </c>
      <c r="P1201" s="2">
        <v>2033.33</v>
      </c>
      <c r="Q1201" t="s">
        <v>2168</v>
      </c>
    </row>
    <row r="1202" spans="1:17">
      <c r="A1202" t="s">
        <v>1217</v>
      </c>
      <c r="B1202" s="1">
        <v>45950</v>
      </c>
      <c r="C1202" t="s">
        <v>1626</v>
      </c>
      <c r="D1202" t="s">
        <v>1924</v>
      </c>
      <c r="E1202" t="s">
        <v>2113</v>
      </c>
      <c r="F1202" t="s">
        <v>2118</v>
      </c>
      <c r="G1202" t="s">
        <v>2122</v>
      </c>
      <c r="H1202" t="s">
        <v>2133</v>
      </c>
      <c r="I1202" t="s">
        <v>2144</v>
      </c>
      <c r="J1202" t="s">
        <v>2152</v>
      </c>
      <c r="K1202" t="s">
        <v>2162</v>
      </c>
      <c r="L1202" s="3">
        <v>1</v>
      </c>
      <c r="M1202" s="2">
        <v>353.41</v>
      </c>
      <c r="N1202" s="5">
        <v>0.05</v>
      </c>
      <c r="O1202" s="2">
        <v>335.74</v>
      </c>
      <c r="P1202" s="2">
        <v>77.48</v>
      </c>
      <c r="Q1202" t="s">
        <v>2168</v>
      </c>
    </row>
    <row r="1203" spans="1:17">
      <c r="A1203" t="s">
        <v>1218</v>
      </c>
      <c r="B1203" s="1">
        <v>45950</v>
      </c>
      <c r="C1203" t="s">
        <v>1801</v>
      </c>
      <c r="D1203" t="s">
        <v>2099</v>
      </c>
      <c r="E1203" t="s">
        <v>2114</v>
      </c>
      <c r="F1203" t="s">
        <v>2118</v>
      </c>
      <c r="G1203" t="s">
        <v>2126</v>
      </c>
      <c r="H1203" t="s">
        <v>2137</v>
      </c>
      <c r="I1203" t="s">
        <v>2142</v>
      </c>
      <c r="J1203" t="s">
        <v>2145</v>
      </c>
      <c r="K1203" t="s">
        <v>2153</v>
      </c>
      <c r="L1203" s="3">
        <v>1</v>
      </c>
      <c r="M1203" s="2">
        <v>12024.19</v>
      </c>
      <c r="N1203" s="5">
        <v>0.2</v>
      </c>
      <c r="O1203" s="2">
        <v>9619.35</v>
      </c>
      <c r="P1203" s="2">
        <v>1103.3499999999999</v>
      </c>
      <c r="Q1203" t="s">
        <v>2169</v>
      </c>
    </row>
    <row r="1204" spans="1:17">
      <c r="A1204" t="s">
        <v>1219</v>
      </c>
      <c r="B1204" s="1">
        <v>45950</v>
      </c>
      <c r="C1204" t="s">
        <v>1576</v>
      </c>
      <c r="D1204" t="s">
        <v>1874</v>
      </c>
      <c r="E1204" t="s">
        <v>2114</v>
      </c>
      <c r="F1204" t="s">
        <v>2117</v>
      </c>
      <c r="G1204" t="s">
        <v>2123</v>
      </c>
      <c r="H1204" t="s">
        <v>2134</v>
      </c>
      <c r="I1204" t="s">
        <v>2143</v>
      </c>
      <c r="J1204" t="s">
        <v>2146</v>
      </c>
      <c r="K1204" t="s">
        <v>2154</v>
      </c>
      <c r="L1204" s="3">
        <v>2</v>
      </c>
      <c r="M1204" s="2">
        <v>39920.449999999997</v>
      </c>
      <c r="N1204" s="5">
        <v>0.2</v>
      </c>
      <c r="O1204" s="2">
        <v>63872.72</v>
      </c>
      <c r="P1204" s="2">
        <v>7201.78</v>
      </c>
      <c r="Q1204" t="s">
        <v>2167</v>
      </c>
    </row>
    <row r="1205" spans="1:17">
      <c r="A1205" t="s">
        <v>1220</v>
      </c>
      <c r="B1205" s="1">
        <v>45950</v>
      </c>
      <c r="C1205" t="s">
        <v>1752</v>
      </c>
      <c r="D1205" t="s">
        <v>2050</v>
      </c>
      <c r="E1205" t="s">
        <v>2115</v>
      </c>
      <c r="F1205" t="s">
        <v>2118</v>
      </c>
      <c r="G1205" t="s">
        <v>2126</v>
      </c>
      <c r="H1205" t="s">
        <v>2137</v>
      </c>
      <c r="I1205" t="s">
        <v>2144</v>
      </c>
      <c r="J1205" t="s">
        <v>2147</v>
      </c>
      <c r="K1205" t="s">
        <v>2155</v>
      </c>
      <c r="L1205" s="3">
        <v>1</v>
      </c>
      <c r="M1205" s="2">
        <v>768.94</v>
      </c>
      <c r="N1205" s="5">
        <v>0</v>
      </c>
      <c r="O1205" s="2">
        <v>768.94</v>
      </c>
      <c r="P1205" s="2">
        <v>123.23</v>
      </c>
      <c r="Q1205" t="s">
        <v>2167</v>
      </c>
    </row>
    <row r="1206" spans="1:17">
      <c r="A1206" t="s">
        <v>1221</v>
      </c>
      <c r="B1206" s="1">
        <v>45950</v>
      </c>
      <c r="C1206" t="s">
        <v>1577</v>
      </c>
      <c r="D1206" t="s">
        <v>1875</v>
      </c>
      <c r="E1206" t="s">
        <v>2114</v>
      </c>
      <c r="F1206" t="s">
        <v>2119</v>
      </c>
      <c r="G1206" t="s">
        <v>2124</v>
      </c>
      <c r="H1206" t="s">
        <v>2135</v>
      </c>
      <c r="I1206" t="s">
        <v>2142</v>
      </c>
      <c r="J1206" t="s">
        <v>2151</v>
      </c>
      <c r="K1206" t="s">
        <v>2160</v>
      </c>
      <c r="L1206" s="3">
        <v>3</v>
      </c>
      <c r="M1206" s="2">
        <v>8475.94</v>
      </c>
      <c r="N1206" s="5">
        <v>0.1</v>
      </c>
      <c r="O1206" s="2">
        <v>22885.040000000001</v>
      </c>
      <c r="P1206" s="2">
        <v>5644.86</v>
      </c>
      <c r="Q1206" t="s">
        <v>2167</v>
      </c>
    </row>
    <row r="1207" spans="1:17">
      <c r="A1207" t="s">
        <v>1222</v>
      </c>
      <c r="B1207" s="1">
        <v>45950</v>
      </c>
      <c r="C1207" t="s">
        <v>1714</v>
      </c>
      <c r="D1207" t="s">
        <v>2012</v>
      </c>
      <c r="E1207" t="s">
        <v>2114</v>
      </c>
      <c r="F1207" t="s">
        <v>2119</v>
      </c>
      <c r="G1207" t="s">
        <v>2124</v>
      </c>
      <c r="H1207" t="s">
        <v>2135</v>
      </c>
      <c r="I1207" t="s">
        <v>2144</v>
      </c>
      <c r="J1207" t="s">
        <v>2152</v>
      </c>
      <c r="K1207" t="s">
        <v>2162</v>
      </c>
      <c r="L1207" s="3">
        <v>1</v>
      </c>
      <c r="M1207" s="2">
        <v>363.8</v>
      </c>
      <c r="N1207" s="5">
        <v>0.05</v>
      </c>
      <c r="O1207" s="2">
        <v>345.61</v>
      </c>
      <c r="P1207" s="2">
        <v>47.87</v>
      </c>
      <c r="Q1207" t="s">
        <v>2169</v>
      </c>
    </row>
    <row r="1208" spans="1:17">
      <c r="A1208" t="s">
        <v>1223</v>
      </c>
      <c r="B1208" s="1">
        <v>45951</v>
      </c>
      <c r="C1208" t="s">
        <v>1671</v>
      </c>
      <c r="D1208" t="s">
        <v>1969</v>
      </c>
      <c r="E1208" t="s">
        <v>2114</v>
      </c>
      <c r="F1208" t="s">
        <v>2116</v>
      </c>
      <c r="G1208" t="s">
        <v>2127</v>
      </c>
      <c r="H1208" t="s">
        <v>2138</v>
      </c>
      <c r="I1208" t="s">
        <v>2142</v>
      </c>
      <c r="J1208" t="s">
        <v>2145</v>
      </c>
      <c r="K1208" t="s">
        <v>2165</v>
      </c>
      <c r="L1208" s="3">
        <v>4</v>
      </c>
      <c r="M1208" s="2">
        <v>6592.87</v>
      </c>
      <c r="N1208" s="5">
        <v>0.05</v>
      </c>
      <c r="O1208" s="2">
        <v>25052.91</v>
      </c>
      <c r="P1208" s="2">
        <v>5503.02</v>
      </c>
      <c r="Q1208" t="s">
        <v>2168</v>
      </c>
    </row>
    <row r="1209" spans="1:17">
      <c r="A1209" t="s">
        <v>1224</v>
      </c>
      <c r="B1209" s="1">
        <v>45951</v>
      </c>
      <c r="C1209" t="s">
        <v>1693</v>
      </c>
      <c r="D1209" t="s">
        <v>1991</v>
      </c>
      <c r="E1209" t="s">
        <v>2113</v>
      </c>
      <c r="F1209" t="s">
        <v>2117</v>
      </c>
      <c r="G1209" t="s">
        <v>2125</v>
      </c>
      <c r="H1209" t="s">
        <v>2136</v>
      </c>
      <c r="I1209" t="s">
        <v>2144</v>
      </c>
      <c r="J1209" t="s">
        <v>2147</v>
      </c>
      <c r="K1209" t="s">
        <v>2155</v>
      </c>
      <c r="L1209" s="3">
        <v>2</v>
      </c>
      <c r="M1209" s="2">
        <v>717.88</v>
      </c>
      <c r="N1209" s="5">
        <v>0.05</v>
      </c>
      <c r="O1209" s="2">
        <v>1363.97</v>
      </c>
      <c r="P1209" s="2">
        <v>304.20999999999998</v>
      </c>
      <c r="Q1209" t="s">
        <v>2170</v>
      </c>
    </row>
    <row r="1210" spans="1:17">
      <c r="A1210" t="s">
        <v>1225</v>
      </c>
      <c r="B1210" s="1">
        <v>45951</v>
      </c>
      <c r="C1210" t="s">
        <v>1608</v>
      </c>
      <c r="D1210" t="s">
        <v>1906</v>
      </c>
      <c r="E1210" t="s">
        <v>2115</v>
      </c>
      <c r="F1210" t="s">
        <v>2117</v>
      </c>
      <c r="G1210" t="s">
        <v>2125</v>
      </c>
      <c r="H1210" t="s">
        <v>2136</v>
      </c>
      <c r="I1210" t="s">
        <v>2143</v>
      </c>
      <c r="J1210" t="s">
        <v>2146</v>
      </c>
      <c r="K1210" t="s">
        <v>2164</v>
      </c>
      <c r="L1210" s="3">
        <v>1</v>
      </c>
      <c r="M1210" s="2">
        <v>18006.64</v>
      </c>
      <c r="N1210" s="5">
        <v>0.1</v>
      </c>
      <c r="O1210" s="2">
        <v>16205.98</v>
      </c>
      <c r="P1210" s="2">
        <v>2809.75</v>
      </c>
      <c r="Q1210" t="s">
        <v>2168</v>
      </c>
    </row>
    <row r="1211" spans="1:17">
      <c r="A1211" t="s">
        <v>1226</v>
      </c>
      <c r="B1211" s="1">
        <v>45951</v>
      </c>
      <c r="C1211" t="s">
        <v>1769</v>
      </c>
      <c r="D1211" t="s">
        <v>2067</v>
      </c>
      <c r="E1211" t="s">
        <v>2114</v>
      </c>
      <c r="F1211" t="s">
        <v>2118</v>
      </c>
      <c r="G1211" t="s">
        <v>2126</v>
      </c>
      <c r="H1211" t="s">
        <v>2137</v>
      </c>
      <c r="I1211" t="s">
        <v>2143</v>
      </c>
      <c r="J1211" t="s">
        <v>2148</v>
      </c>
      <c r="K1211" t="s">
        <v>2161</v>
      </c>
      <c r="L1211" s="3">
        <v>4</v>
      </c>
      <c r="M1211" s="2">
        <v>1774.46</v>
      </c>
      <c r="N1211" s="5">
        <v>0.1</v>
      </c>
      <c r="O1211" s="2">
        <v>6388.06</v>
      </c>
      <c r="P1211" s="2">
        <v>1235.69</v>
      </c>
      <c r="Q1211" t="s">
        <v>2167</v>
      </c>
    </row>
    <row r="1212" spans="1:17">
      <c r="A1212" t="s">
        <v>1227</v>
      </c>
      <c r="B1212" s="1">
        <v>45951</v>
      </c>
      <c r="C1212" t="s">
        <v>1729</v>
      </c>
      <c r="D1212" t="s">
        <v>2027</v>
      </c>
      <c r="E1212" t="s">
        <v>2114</v>
      </c>
      <c r="F1212" t="s">
        <v>2119</v>
      </c>
      <c r="G1212" t="s">
        <v>2129</v>
      </c>
      <c r="H1212" t="s">
        <v>2139</v>
      </c>
      <c r="I1212" t="s">
        <v>2144</v>
      </c>
      <c r="J1212" t="s">
        <v>2152</v>
      </c>
      <c r="K1212" t="s">
        <v>2166</v>
      </c>
      <c r="L1212" s="3">
        <v>5</v>
      </c>
      <c r="M1212" s="2">
        <v>584.51</v>
      </c>
      <c r="N1212" s="5">
        <v>0.1</v>
      </c>
      <c r="O1212" s="2">
        <v>2630.3</v>
      </c>
      <c r="P1212" s="2">
        <v>586.9</v>
      </c>
      <c r="Q1212" t="s">
        <v>2169</v>
      </c>
    </row>
    <row r="1213" spans="1:17">
      <c r="A1213" t="s">
        <v>1228</v>
      </c>
      <c r="B1213" s="1">
        <v>45951</v>
      </c>
      <c r="C1213" t="s">
        <v>1764</v>
      </c>
      <c r="D1213" t="s">
        <v>2062</v>
      </c>
      <c r="E1213" t="s">
        <v>2115</v>
      </c>
      <c r="F1213" t="s">
        <v>2117</v>
      </c>
      <c r="G1213" t="s">
        <v>2121</v>
      </c>
      <c r="H1213" t="s">
        <v>2132</v>
      </c>
      <c r="I1213" t="s">
        <v>2143</v>
      </c>
      <c r="J1213" t="s">
        <v>2148</v>
      </c>
      <c r="K1213" t="s">
        <v>2161</v>
      </c>
      <c r="L1213" s="3">
        <v>1</v>
      </c>
      <c r="M1213" s="2">
        <v>1717.37</v>
      </c>
      <c r="N1213" s="5">
        <v>0.15</v>
      </c>
      <c r="O1213" s="2">
        <v>1459.76</v>
      </c>
      <c r="P1213" s="2">
        <v>70.900000000000006</v>
      </c>
      <c r="Q1213" t="s">
        <v>2170</v>
      </c>
    </row>
    <row r="1214" spans="1:17">
      <c r="A1214" t="s">
        <v>1229</v>
      </c>
      <c r="B1214" s="1">
        <v>45952</v>
      </c>
      <c r="C1214" t="s">
        <v>1567</v>
      </c>
      <c r="D1214" t="s">
        <v>1865</v>
      </c>
      <c r="E1214" t="s">
        <v>2113</v>
      </c>
      <c r="F1214" t="s">
        <v>2118</v>
      </c>
      <c r="G1214" t="s">
        <v>2122</v>
      </c>
      <c r="H1214" t="s">
        <v>2133</v>
      </c>
      <c r="I1214" t="s">
        <v>2143</v>
      </c>
      <c r="J1214" t="s">
        <v>2148</v>
      </c>
      <c r="K1214" t="s">
        <v>2156</v>
      </c>
      <c r="L1214" s="3">
        <v>1</v>
      </c>
      <c r="M1214" s="2">
        <v>1239.74</v>
      </c>
      <c r="N1214" s="5">
        <v>0.05</v>
      </c>
      <c r="O1214" s="2">
        <v>1177.75</v>
      </c>
      <c r="P1214" s="2">
        <v>86.87</v>
      </c>
      <c r="Q1214" t="s">
        <v>2168</v>
      </c>
    </row>
    <row r="1215" spans="1:17">
      <c r="A1215" t="s">
        <v>1230</v>
      </c>
      <c r="B1215" s="1">
        <v>45953</v>
      </c>
      <c r="C1215" t="s">
        <v>1704</v>
      </c>
      <c r="D1215" t="s">
        <v>2002</v>
      </c>
      <c r="E1215" t="s">
        <v>2113</v>
      </c>
      <c r="F1215" t="s">
        <v>2116</v>
      </c>
      <c r="G1215" t="s">
        <v>2127</v>
      </c>
      <c r="H1215" t="s">
        <v>2138</v>
      </c>
      <c r="I1215" t="s">
        <v>2144</v>
      </c>
      <c r="J1215" t="s">
        <v>2152</v>
      </c>
      <c r="K1215" t="s">
        <v>2166</v>
      </c>
      <c r="L1215" s="3">
        <v>1</v>
      </c>
      <c r="M1215" s="2">
        <v>607.91</v>
      </c>
      <c r="N1215" s="5">
        <v>0.05</v>
      </c>
      <c r="O1215" s="2">
        <v>577.51</v>
      </c>
      <c r="P1215" s="2">
        <v>141.75</v>
      </c>
      <c r="Q1215" t="s">
        <v>2169</v>
      </c>
    </row>
    <row r="1216" spans="1:17">
      <c r="A1216" t="s">
        <v>1231</v>
      </c>
      <c r="B1216" s="1">
        <v>45953</v>
      </c>
      <c r="C1216" t="s">
        <v>1742</v>
      </c>
      <c r="D1216" t="s">
        <v>2040</v>
      </c>
      <c r="E1216" t="s">
        <v>2114</v>
      </c>
      <c r="F1216" t="s">
        <v>2119</v>
      </c>
      <c r="G1216" t="s">
        <v>2124</v>
      </c>
      <c r="H1216" t="s">
        <v>2135</v>
      </c>
      <c r="I1216" t="s">
        <v>2143</v>
      </c>
      <c r="J1216" t="s">
        <v>2148</v>
      </c>
      <c r="K1216" t="s">
        <v>2156</v>
      </c>
      <c r="L1216" s="3">
        <v>2</v>
      </c>
      <c r="M1216" s="2">
        <v>1194.76</v>
      </c>
      <c r="N1216" s="5">
        <v>0.15</v>
      </c>
      <c r="O1216" s="2">
        <v>2031.09</v>
      </c>
      <c r="P1216" s="2">
        <v>160.22999999999999</v>
      </c>
      <c r="Q1216" t="s">
        <v>2169</v>
      </c>
    </row>
    <row r="1217" spans="1:17">
      <c r="A1217" t="s">
        <v>1232</v>
      </c>
      <c r="B1217" s="1">
        <v>45953</v>
      </c>
      <c r="C1217" t="s">
        <v>1799</v>
      </c>
      <c r="D1217" t="s">
        <v>2097</v>
      </c>
      <c r="E1217" t="s">
        <v>2115</v>
      </c>
      <c r="F1217" t="s">
        <v>2118</v>
      </c>
      <c r="G1217" t="s">
        <v>2128</v>
      </c>
      <c r="H1217" t="s">
        <v>2128</v>
      </c>
      <c r="I1217" t="s">
        <v>2142</v>
      </c>
      <c r="J1217" t="s">
        <v>2145</v>
      </c>
      <c r="K1217" t="s">
        <v>2165</v>
      </c>
      <c r="L1217" s="3">
        <v>3</v>
      </c>
      <c r="M1217" s="2">
        <v>6453.09</v>
      </c>
      <c r="N1217" s="5">
        <v>0</v>
      </c>
      <c r="O1217" s="2">
        <v>19359.27</v>
      </c>
      <c r="P1217" s="2">
        <v>2934.82</v>
      </c>
      <c r="Q1217" t="s">
        <v>2168</v>
      </c>
    </row>
    <row r="1218" spans="1:17">
      <c r="A1218" t="s">
        <v>1233</v>
      </c>
      <c r="B1218" s="1">
        <v>45953</v>
      </c>
      <c r="C1218" t="s">
        <v>1760</v>
      </c>
      <c r="D1218" t="s">
        <v>2058</v>
      </c>
      <c r="E1218" t="s">
        <v>2115</v>
      </c>
      <c r="F1218" t="s">
        <v>2117</v>
      </c>
      <c r="G1218" t="s">
        <v>2123</v>
      </c>
      <c r="H1218" t="s">
        <v>2134</v>
      </c>
      <c r="I1218" t="s">
        <v>2142</v>
      </c>
      <c r="J1218" t="s">
        <v>2151</v>
      </c>
      <c r="K1218" t="s">
        <v>2160</v>
      </c>
      <c r="L1218" s="3">
        <v>4</v>
      </c>
      <c r="M1218" s="2">
        <v>8757.6</v>
      </c>
      <c r="N1218" s="5">
        <v>0.1</v>
      </c>
      <c r="O1218" s="2">
        <v>31527.360000000001</v>
      </c>
      <c r="P1218" s="2">
        <v>7309.37</v>
      </c>
      <c r="Q1218" t="s">
        <v>2169</v>
      </c>
    </row>
    <row r="1219" spans="1:17">
      <c r="A1219" t="s">
        <v>1234</v>
      </c>
      <c r="B1219" s="1">
        <v>45954</v>
      </c>
      <c r="C1219" t="s">
        <v>1537</v>
      </c>
      <c r="D1219" t="s">
        <v>1835</v>
      </c>
      <c r="E1219" t="s">
        <v>2113</v>
      </c>
      <c r="F1219" t="s">
        <v>2117</v>
      </c>
      <c r="G1219" t="s">
        <v>2121</v>
      </c>
      <c r="H1219" t="s">
        <v>2132</v>
      </c>
      <c r="I1219" t="s">
        <v>2143</v>
      </c>
      <c r="J1219" t="s">
        <v>2148</v>
      </c>
      <c r="K1219" t="s">
        <v>2161</v>
      </c>
      <c r="L1219" s="3">
        <v>3</v>
      </c>
      <c r="M1219" s="2">
        <v>1776.24</v>
      </c>
      <c r="N1219" s="5">
        <v>0.05</v>
      </c>
      <c r="O1219" s="2">
        <v>5062.28</v>
      </c>
      <c r="P1219" s="2">
        <v>389.54</v>
      </c>
      <c r="Q1219" t="s">
        <v>2169</v>
      </c>
    </row>
    <row r="1220" spans="1:17">
      <c r="A1220" t="s">
        <v>1235</v>
      </c>
      <c r="B1220" s="1">
        <v>45955</v>
      </c>
      <c r="C1220" t="s">
        <v>1735</v>
      </c>
      <c r="D1220" t="s">
        <v>2033</v>
      </c>
      <c r="E1220" t="s">
        <v>2113</v>
      </c>
      <c r="F1220" t="s">
        <v>2119</v>
      </c>
      <c r="G1220" t="s">
        <v>2129</v>
      </c>
      <c r="H1220" t="s">
        <v>2139</v>
      </c>
      <c r="I1220" t="s">
        <v>2143</v>
      </c>
      <c r="J1220" t="s">
        <v>2149</v>
      </c>
      <c r="K1220" t="s">
        <v>2158</v>
      </c>
      <c r="L1220" s="3">
        <v>1</v>
      </c>
      <c r="M1220" s="2">
        <v>50091.14</v>
      </c>
      <c r="N1220" s="5">
        <v>0</v>
      </c>
      <c r="O1220" s="2">
        <v>50091.14</v>
      </c>
      <c r="P1220" s="2">
        <v>8117.61</v>
      </c>
      <c r="Q1220" t="s">
        <v>2170</v>
      </c>
    </row>
    <row r="1221" spans="1:17">
      <c r="A1221" t="s">
        <v>1236</v>
      </c>
      <c r="B1221" s="1">
        <v>45955</v>
      </c>
      <c r="C1221" t="s">
        <v>1629</v>
      </c>
      <c r="D1221" t="s">
        <v>1927</v>
      </c>
      <c r="E1221" t="s">
        <v>2114</v>
      </c>
      <c r="F1221" t="s">
        <v>2118</v>
      </c>
      <c r="G1221" t="s">
        <v>2128</v>
      </c>
      <c r="H1221" t="s">
        <v>2128</v>
      </c>
      <c r="I1221" t="s">
        <v>2142</v>
      </c>
      <c r="J1221" t="s">
        <v>2145</v>
      </c>
      <c r="K1221" t="s">
        <v>2153</v>
      </c>
      <c r="L1221" s="3">
        <v>3</v>
      </c>
      <c r="M1221" s="2">
        <v>12356.22</v>
      </c>
      <c r="N1221" s="5">
        <v>0.15</v>
      </c>
      <c r="O1221" s="2">
        <v>31508.36</v>
      </c>
      <c r="P1221" s="2">
        <v>2884.18</v>
      </c>
      <c r="Q1221" t="s">
        <v>2167</v>
      </c>
    </row>
    <row r="1222" spans="1:17">
      <c r="A1222" t="s">
        <v>1237</v>
      </c>
      <c r="B1222" s="1">
        <v>45956</v>
      </c>
      <c r="C1222" t="s">
        <v>1576</v>
      </c>
      <c r="D1222" t="s">
        <v>1874</v>
      </c>
      <c r="E1222" t="s">
        <v>2113</v>
      </c>
      <c r="F1222" t="s">
        <v>2117</v>
      </c>
      <c r="G1222" t="s">
        <v>2125</v>
      </c>
      <c r="H1222" t="s">
        <v>2136</v>
      </c>
      <c r="I1222" t="s">
        <v>2143</v>
      </c>
      <c r="J1222" t="s">
        <v>2148</v>
      </c>
      <c r="K1222" t="s">
        <v>2161</v>
      </c>
      <c r="L1222" s="3">
        <v>1</v>
      </c>
      <c r="M1222" s="2">
        <v>1760.63</v>
      </c>
      <c r="N1222" s="5">
        <v>0</v>
      </c>
      <c r="O1222" s="2">
        <v>1760.63</v>
      </c>
      <c r="P1222" s="2">
        <v>242.19</v>
      </c>
      <c r="Q1222" t="s">
        <v>2170</v>
      </c>
    </row>
    <row r="1223" spans="1:17">
      <c r="A1223" t="s">
        <v>1238</v>
      </c>
      <c r="B1223" s="1">
        <v>45956</v>
      </c>
      <c r="C1223" t="s">
        <v>1774</v>
      </c>
      <c r="D1223" t="s">
        <v>2072</v>
      </c>
      <c r="E1223" t="s">
        <v>2113</v>
      </c>
      <c r="F1223" t="s">
        <v>2116</v>
      </c>
      <c r="G1223" t="s">
        <v>2120</v>
      </c>
      <c r="H1223" t="s">
        <v>2131</v>
      </c>
      <c r="I1223" t="s">
        <v>2143</v>
      </c>
      <c r="J1223" t="s">
        <v>2146</v>
      </c>
      <c r="K1223" t="s">
        <v>2154</v>
      </c>
      <c r="L1223" s="3">
        <v>2</v>
      </c>
      <c r="M1223" s="2">
        <v>43076.18</v>
      </c>
      <c r="N1223" s="5">
        <v>0</v>
      </c>
      <c r="O1223" s="2">
        <v>86152.36</v>
      </c>
      <c r="P1223" s="2">
        <v>10220.25</v>
      </c>
      <c r="Q1223" t="s">
        <v>2170</v>
      </c>
    </row>
    <row r="1224" spans="1:17">
      <c r="A1224" t="s">
        <v>1239</v>
      </c>
      <c r="B1224" s="1">
        <v>45956</v>
      </c>
      <c r="C1224" t="s">
        <v>1555</v>
      </c>
      <c r="D1224" t="s">
        <v>1853</v>
      </c>
      <c r="E1224" t="s">
        <v>2114</v>
      </c>
      <c r="F1224" t="s">
        <v>2119</v>
      </c>
      <c r="G1224" t="s">
        <v>2130</v>
      </c>
      <c r="H1224" t="s">
        <v>2141</v>
      </c>
      <c r="I1224" t="s">
        <v>2143</v>
      </c>
      <c r="J1224" t="s">
        <v>2149</v>
      </c>
      <c r="K1224" t="s">
        <v>2163</v>
      </c>
      <c r="L1224" s="3">
        <v>1</v>
      </c>
      <c r="M1224" s="2">
        <v>65608.95</v>
      </c>
      <c r="N1224" s="5">
        <v>0.1</v>
      </c>
      <c r="O1224" s="2">
        <v>59048.06</v>
      </c>
      <c r="P1224" s="2">
        <v>9916.49</v>
      </c>
      <c r="Q1224" t="s">
        <v>2167</v>
      </c>
    </row>
    <row r="1225" spans="1:17">
      <c r="A1225" t="s">
        <v>1240</v>
      </c>
      <c r="B1225" s="1">
        <v>45956</v>
      </c>
      <c r="C1225" t="s">
        <v>1672</v>
      </c>
      <c r="D1225" t="s">
        <v>1970</v>
      </c>
      <c r="E1225" t="s">
        <v>2114</v>
      </c>
      <c r="F1225" t="s">
        <v>2119</v>
      </c>
      <c r="G1225" t="s">
        <v>2124</v>
      </c>
      <c r="H1225" t="s">
        <v>2135</v>
      </c>
      <c r="I1225" t="s">
        <v>2142</v>
      </c>
      <c r="J1225" t="s">
        <v>2147</v>
      </c>
      <c r="K1225" t="s">
        <v>2157</v>
      </c>
      <c r="L1225" s="3">
        <v>2</v>
      </c>
      <c r="M1225" s="2">
        <v>15110.9</v>
      </c>
      <c r="N1225" s="5">
        <v>0.05</v>
      </c>
      <c r="O1225" s="2">
        <v>28710.71</v>
      </c>
      <c r="P1225" s="2">
        <v>5767.98</v>
      </c>
      <c r="Q1225" t="s">
        <v>2169</v>
      </c>
    </row>
    <row r="1226" spans="1:17">
      <c r="A1226" t="s">
        <v>1241</v>
      </c>
      <c r="B1226" s="1">
        <v>45956</v>
      </c>
      <c r="C1226" t="s">
        <v>1704</v>
      </c>
      <c r="D1226" t="s">
        <v>2002</v>
      </c>
      <c r="E1226" t="s">
        <v>2114</v>
      </c>
      <c r="F1226" t="s">
        <v>2117</v>
      </c>
      <c r="G1226" t="s">
        <v>2121</v>
      </c>
      <c r="H1226" t="s">
        <v>2132</v>
      </c>
      <c r="I1226" t="s">
        <v>2143</v>
      </c>
      <c r="J1226" t="s">
        <v>2148</v>
      </c>
      <c r="K1226" t="s">
        <v>2156</v>
      </c>
      <c r="L1226" s="3">
        <v>1</v>
      </c>
      <c r="M1226" s="2">
        <v>1192.08</v>
      </c>
      <c r="N1226" s="5">
        <v>0.05</v>
      </c>
      <c r="O1226" s="2">
        <v>1132.48</v>
      </c>
      <c r="P1226" s="2">
        <v>151.29</v>
      </c>
      <c r="Q1226" t="s">
        <v>2170</v>
      </c>
    </row>
    <row r="1227" spans="1:17">
      <c r="A1227" t="s">
        <v>1242</v>
      </c>
      <c r="B1227" s="1">
        <v>45957</v>
      </c>
      <c r="C1227" t="s">
        <v>1808</v>
      </c>
      <c r="D1227" t="s">
        <v>2106</v>
      </c>
      <c r="E1227" t="s">
        <v>2114</v>
      </c>
      <c r="F1227" t="s">
        <v>2117</v>
      </c>
      <c r="G1227" t="s">
        <v>2125</v>
      </c>
      <c r="H1227" t="s">
        <v>2136</v>
      </c>
      <c r="I1227" t="s">
        <v>2143</v>
      </c>
      <c r="J1227" t="s">
        <v>2148</v>
      </c>
      <c r="K1227" t="s">
        <v>2161</v>
      </c>
      <c r="L1227" s="3">
        <v>1</v>
      </c>
      <c r="M1227" s="2">
        <v>1748.68</v>
      </c>
      <c r="N1227" s="5">
        <v>0</v>
      </c>
      <c r="O1227" s="2">
        <v>1748.68</v>
      </c>
      <c r="P1227" s="2">
        <v>243.9</v>
      </c>
      <c r="Q1227" t="s">
        <v>2168</v>
      </c>
    </row>
    <row r="1228" spans="1:17">
      <c r="A1228" t="s">
        <v>1243</v>
      </c>
      <c r="B1228" s="1">
        <v>45957</v>
      </c>
      <c r="C1228" t="s">
        <v>1738</v>
      </c>
      <c r="D1228" t="s">
        <v>2036</v>
      </c>
      <c r="E1228" t="s">
        <v>2114</v>
      </c>
      <c r="F1228" t="s">
        <v>2118</v>
      </c>
      <c r="G1228" t="s">
        <v>2128</v>
      </c>
      <c r="H1228" t="s">
        <v>2128</v>
      </c>
      <c r="I1228" t="s">
        <v>2144</v>
      </c>
      <c r="J1228" t="s">
        <v>2147</v>
      </c>
      <c r="K1228" t="s">
        <v>2155</v>
      </c>
      <c r="L1228" s="3">
        <v>4</v>
      </c>
      <c r="M1228" s="2">
        <v>717.13</v>
      </c>
      <c r="N1228" s="5">
        <v>0.05</v>
      </c>
      <c r="O1228" s="2">
        <v>2725.09</v>
      </c>
      <c r="P1228" s="2">
        <v>692.78</v>
      </c>
      <c r="Q1228" t="s">
        <v>2168</v>
      </c>
    </row>
    <row r="1229" spans="1:17">
      <c r="A1229" t="s">
        <v>1244</v>
      </c>
      <c r="B1229" s="1">
        <v>45958</v>
      </c>
      <c r="C1229" t="s">
        <v>1717</v>
      </c>
      <c r="D1229" t="s">
        <v>2015</v>
      </c>
      <c r="E1229" t="s">
        <v>2114</v>
      </c>
      <c r="F1229" t="s">
        <v>2117</v>
      </c>
      <c r="G1229" t="s">
        <v>2121</v>
      </c>
      <c r="H1229" t="s">
        <v>2132</v>
      </c>
      <c r="I1229" t="s">
        <v>2143</v>
      </c>
      <c r="J1229" t="s">
        <v>2148</v>
      </c>
      <c r="K1229" t="s">
        <v>2161</v>
      </c>
      <c r="L1229" s="3">
        <v>1</v>
      </c>
      <c r="M1229" s="2">
        <v>1860.43</v>
      </c>
      <c r="N1229" s="5">
        <v>0.15</v>
      </c>
      <c r="O1229" s="2">
        <v>1581.37</v>
      </c>
      <c r="P1229" s="2">
        <v>151.54</v>
      </c>
      <c r="Q1229" t="s">
        <v>2167</v>
      </c>
    </row>
    <row r="1230" spans="1:17">
      <c r="A1230" t="s">
        <v>1245</v>
      </c>
      <c r="B1230" s="1">
        <v>45958</v>
      </c>
      <c r="C1230" t="s">
        <v>1587</v>
      </c>
      <c r="D1230" t="s">
        <v>1885</v>
      </c>
      <c r="E1230" t="s">
        <v>2113</v>
      </c>
      <c r="F1230" t="s">
        <v>2117</v>
      </c>
      <c r="G1230" t="s">
        <v>2125</v>
      </c>
      <c r="H1230" t="s">
        <v>2136</v>
      </c>
      <c r="I1230" t="s">
        <v>2143</v>
      </c>
      <c r="J1230" t="s">
        <v>2148</v>
      </c>
      <c r="K1230" t="s">
        <v>2156</v>
      </c>
      <c r="L1230" s="3">
        <v>3</v>
      </c>
      <c r="M1230" s="2">
        <v>1205.28</v>
      </c>
      <c r="N1230" s="5">
        <v>0</v>
      </c>
      <c r="O1230" s="2">
        <v>3615.84</v>
      </c>
      <c r="P1230" s="2">
        <v>550</v>
      </c>
      <c r="Q1230" t="s">
        <v>2169</v>
      </c>
    </row>
    <row r="1231" spans="1:17">
      <c r="A1231" t="s">
        <v>1246</v>
      </c>
      <c r="B1231" s="1">
        <v>45958</v>
      </c>
      <c r="C1231" t="s">
        <v>1776</v>
      </c>
      <c r="D1231" t="s">
        <v>2074</v>
      </c>
      <c r="E1231" t="s">
        <v>2114</v>
      </c>
      <c r="F1231" t="s">
        <v>2117</v>
      </c>
      <c r="G1231" t="s">
        <v>2123</v>
      </c>
      <c r="H1231" t="s">
        <v>2134</v>
      </c>
      <c r="I1231" t="s">
        <v>2143</v>
      </c>
      <c r="J1231" t="s">
        <v>2149</v>
      </c>
      <c r="K1231" t="s">
        <v>2163</v>
      </c>
      <c r="L1231" s="3">
        <v>3</v>
      </c>
      <c r="M1231" s="2">
        <v>65250.23</v>
      </c>
      <c r="N1231" s="5">
        <v>0.05</v>
      </c>
      <c r="O1231" s="2">
        <v>185963.16</v>
      </c>
      <c r="P1231" s="2">
        <v>35041.08</v>
      </c>
      <c r="Q1231" t="s">
        <v>2170</v>
      </c>
    </row>
    <row r="1232" spans="1:17">
      <c r="A1232" t="s">
        <v>1247</v>
      </c>
      <c r="B1232" s="1">
        <v>45958</v>
      </c>
      <c r="C1232" t="s">
        <v>1695</v>
      </c>
      <c r="D1232" t="s">
        <v>1993</v>
      </c>
      <c r="E1232" t="s">
        <v>2114</v>
      </c>
      <c r="F1232" t="s">
        <v>2119</v>
      </c>
      <c r="G1232" t="s">
        <v>2130</v>
      </c>
      <c r="H1232" t="s">
        <v>2141</v>
      </c>
      <c r="I1232" t="s">
        <v>2144</v>
      </c>
      <c r="J1232" t="s">
        <v>2152</v>
      </c>
      <c r="K1232" t="s">
        <v>2162</v>
      </c>
      <c r="L1232" s="3">
        <v>3</v>
      </c>
      <c r="M1232" s="2">
        <v>366.89</v>
      </c>
      <c r="N1232" s="5">
        <v>0.05</v>
      </c>
      <c r="O1232" s="2">
        <v>1045.6400000000001</v>
      </c>
      <c r="P1232" s="2">
        <v>278.27</v>
      </c>
      <c r="Q1232" t="s">
        <v>2169</v>
      </c>
    </row>
    <row r="1233" spans="1:17">
      <c r="A1233" t="s">
        <v>1248</v>
      </c>
      <c r="B1233" s="1">
        <v>45959</v>
      </c>
      <c r="C1233" t="s">
        <v>1609</v>
      </c>
      <c r="D1233" t="s">
        <v>1907</v>
      </c>
      <c r="E1233" t="s">
        <v>2113</v>
      </c>
      <c r="F1233" t="s">
        <v>2118</v>
      </c>
      <c r="G1233" t="s">
        <v>2122</v>
      </c>
      <c r="H1233" t="s">
        <v>2133</v>
      </c>
      <c r="I1233" t="s">
        <v>2143</v>
      </c>
      <c r="J1233" t="s">
        <v>2146</v>
      </c>
      <c r="K1233" t="s">
        <v>2164</v>
      </c>
      <c r="L1233" s="3">
        <v>4</v>
      </c>
      <c r="M1233" s="2">
        <v>17721.759999999998</v>
      </c>
      <c r="N1233" s="5">
        <v>0</v>
      </c>
      <c r="O1233" s="2">
        <v>70887.039999999994</v>
      </c>
      <c r="P1233" s="2">
        <v>13143.18</v>
      </c>
      <c r="Q1233" t="s">
        <v>2168</v>
      </c>
    </row>
    <row r="1234" spans="1:17">
      <c r="A1234" t="s">
        <v>1249</v>
      </c>
      <c r="B1234" s="1">
        <v>45959</v>
      </c>
      <c r="C1234" t="s">
        <v>1565</v>
      </c>
      <c r="D1234" t="s">
        <v>1863</v>
      </c>
      <c r="E1234" t="s">
        <v>2114</v>
      </c>
      <c r="F1234" t="s">
        <v>2116</v>
      </c>
      <c r="G1234" t="s">
        <v>2120</v>
      </c>
      <c r="H1234" t="s">
        <v>2131</v>
      </c>
      <c r="I1234" t="s">
        <v>2144</v>
      </c>
      <c r="J1234" t="s">
        <v>2152</v>
      </c>
      <c r="K1234" t="s">
        <v>2162</v>
      </c>
      <c r="L1234" s="3">
        <v>2</v>
      </c>
      <c r="M1234" s="2">
        <v>333.1</v>
      </c>
      <c r="N1234" s="5">
        <v>0.1</v>
      </c>
      <c r="O1234" s="2">
        <v>599.58000000000004</v>
      </c>
      <c r="P1234" s="2">
        <v>169.1</v>
      </c>
      <c r="Q1234" t="s">
        <v>2169</v>
      </c>
    </row>
    <row r="1235" spans="1:17">
      <c r="A1235" t="s">
        <v>1250</v>
      </c>
      <c r="B1235" s="1">
        <v>45959</v>
      </c>
      <c r="C1235" t="s">
        <v>1705</v>
      </c>
      <c r="D1235" t="s">
        <v>2003</v>
      </c>
      <c r="E1235" t="s">
        <v>2113</v>
      </c>
      <c r="F1235" t="s">
        <v>2116</v>
      </c>
      <c r="G1235" t="s">
        <v>2120</v>
      </c>
      <c r="H1235" t="s">
        <v>2131</v>
      </c>
      <c r="I1235" t="s">
        <v>2144</v>
      </c>
      <c r="J1235" t="s">
        <v>2147</v>
      </c>
      <c r="K1235" t="s">
        <v>2155</v>
      </c>
      <c r="L1235" s="3">
        <v>2</v>
      </c>
      <c r="M1235" s="2">
        <v>734.76</v>
      </c>
      <c r="N1235" s="5">
        <v>0.15</v>
      </c>
      <c r="O1235" s="2">
        <v>1249.0899999999999</v>
      </c>
      <c r="P1235" s="2">
        <v>214.69</v>
      </c>
      <c r="Q1235" t="s">
        <v>2168</v>
      </c>
    </row>
    <row r="1236" spans="1:17">
      <c r="A1236" t="s">
        <v>1251</v>
      </c>
      <c r="B1236" s="1">
        <v>45960</v>
      </c>
      <c r="C1236" t="s">
        <v>1606</v>
      </c>
      <c r="D1236" t="s">
        <v>1904</v>
      </c>
      <c r="E1236" t="s">
        <v>2115</v>
      </c>
      <c r="F1236" t="s">
        <v>2117</v>
      </c>
      <c r="G1236" t="s">
        <v>2125</v>
      </c>
      <c r="H1236" t="s">
        <v>2136</v>
      </c>
      <c r="I1236" t="s">
        <v>2144</v>
      </c>
      <c r="J1236" t="s">
        <v>2150</v>
      </c>
      <c r="K1236" t="s">
        <v>2159</v>
      </c>
      <c r="L1236" s="3">
        <v>1</v>
      </c>
      <c r="M1236" s="2">
        <v>450.15</v>
      </c>
      <c r="N1236" s="5">
        <v>0</v>
      </c>
      <c r="O1236" s="2">
        <v>450.15</v>
      </c>
      <c r="P1236" s="2">
        <v>125.02</v>
      </c>
      <c r="Q1236" t="s">
        <v>2168</v>
      </c>
    </row>
    <row r="1237" spans="1:17">
      <c r="A1237" t="s">
        <v>1252</v>
      </c>
      <c r="B1237" s="1">
        <v>45960</v>
      </c>
      <c r="C1237" t="s">
        <v>1605</v>
      </c>
      <c r="D1237" t="s">
        <v>1903</v>
      </c>
      <c r="E1237" t="s">
        <v>2114</v>
      </c>
      <c r="F1237" t="s">
        <v>2116</v>
      </c>
      <c r="G1237" t="s">
        <v>2120</v>
      </c>
      <c r="H1237" t="s">
        <v>2131</v>
      </c>
      <c r="I1237" t="s">
        <v>2144</v>
      </c>
      <c r="J1237" t="s">
        <v>2147</v>
      </c>
      <c r="K1237" t="s">
        <v>2155</v>
      </c>
      <c r="L1237" s="3">
        <v>1</v>
      </c>
      <c r="M1237" s="2">
        <v>741</v>
      </c>
      <c r="N1237" s="5">
        <v>0.1</v>
      </c>
      <c r="O1237" s="2">
        <v>666.9</v>
      </c>
      <c r="P1237" s="2">
        <v>136.84</v>
      </c>
      <c r="Q1237" t="s">
        <v>2168</v>
      </c>
    </row>
    <row r="1238" spans="1:17">
      <c r="A1238" t="s">
        <v>1253</v>
      </c>
      <c r="B1238" s="1">
        <v>45960</v>
      </c>
      <c r="C1238" t="s">
        <v>1803</v>
      </c>
      <c r="D1238" t="s">
        <v>2101</v>
      </c>
      <c r="E1238" t="s">
        <v>2114</v>
      </c>
      <c r="F1238" t="s">
        <v>2118</v>
      </c>
      <c r="G1238" t="s">
        <v>2122</v>
      </c>
      <c r="H1238" t="s">
        <v>2133</v>
      </c>
      <c r="I1238" t="s">
        <v>2143</v>
      </c>
      <c r="J1238" t="s">
        <v>2149</v>
      </c>
      <c r="K1238" t="s">
        <v>2158</v>
      </c>
      <c r="L1238" s="3">
        <v>2</v>
      </c>
      <c r="M1238" s="2">
        <v>46843.19</v>
      </c>
      <c r="N1238" s="5">
        <v>0.05</v>
      </c>
      <c r="O1238" s="2">
        <v>89002.06</v>
      </c>
      <c r="P1238" s="2">
        <v>12033.86</v>
      </c>
      <c r="Q1238" t="s">
        <v>2170</v>
      </c>
    </row>
    <row r="1239" spans="1:17">
      <c r="A1239" t="s">
        <v>1254</v>
      </c>
      <c r="B1239" s="1">
        <v>45960</v>
      </c>
      <c r="C1239" t="s">
        <v>1780</v>
      </c>
      <c r="D1239" t="s">
        <v>2078</v>
      </c>
      <c r="E1239" t="s">
        <v>2115</v>
      </c>
      <c r="F1239" t="s">
        <v>2117</v>
      </c>
      <c r="G1239" t="s">
        <v>2125</v>
      </c>
      <c r="H1239" t="s">
        <v>2136</v>
      </c>
      <c r="I1239" t="s">
        <v>2142</v>
      </c>
      <c r="J1239" t="s">
        <v>2145</v>
      </c>
      <c r="K1239" t="s">
        <v>2165</v>
      </c>
      <c r="L1239" s="3">
        <v>3</v>
      </c>
      <c r="M1239" s="2">
        <v>6480.78</v>
      </c>
      <c r="N1239" s="5">
        <v>0.05</v>
      </c>
      <c r="O1239" s="2">
        <v>18470.22</v>
      </c>
      <c r="P1239" s="2">
        <v>2832.17</v>
      </c>
      <c r="Q1239" t="s">
        <v>2167</v>
      </c>
    </row>
    <row r="1240" spans="1:17">
      <c r="A1240" t="s">
        <v>1255</v>
      </c>
      <c r="B1240" s="1">
        <v>45960</v>
      </c>
      <c r="C1240" t="s">
        <v>1638</v>
      </c>
      <c r="D1240" t="s">
        <v>1936</v>
      </c>
      <c r="E1240" t="s">
        <v>2113</v>
      </c>
      <c r="F1240" t="s">
        <v>2116</v>
      </c>
      <c r="G1240" t="s">
        <v>2127</v>
      </c>
      <c r="H1240" t="s">
        <v>2138</v>
      </c>
      <c r="I1240" t="s">
        <v>2144</v>
      </c>
      <c r="J1240" t="s">
        <v>2147</v>
      </c>
      <c r="K1240" t="s">
        <v>2155</v>
      </c>
      <c r="L1240" s="3">
        <v>2</v>
      </c>
      <c r="M1240" s="2">
        <v>731.96</v>
      </c>
      <c r="N1240" s="5">
        <v>0.1</v>
      </c>
      <c r="O1240" s="2">
        <v>1317.53</v>
      </c>
      <c r="P1240" s="2">
        <v>202.83</v>
      </c>
      <c r="Q1240" t="s">
        <v>2169</v>
      </c>
    </row>
    <row r="1241" spans="1:17">
      <c r="A1241" t="s">
        <v>1256</v>
      </c>
      <c r="B1241" s="1">
        <v>45960</v>
      </c>
      <c r="C1241" t="s">
        <v>1742</v>
      </c>
      <c r="D1241" t="s">
        <v>2040</v>
      </c>
      <c r="E1241" t="s">
        <v>2113</v>
      </c>
      <c r="F1241" t="s">
        <v>2117</v>
      </c>
      <c r="G1241" t="s">
        <v>2123</v>
      </c>
      <c r="H1241" t="s">
        <v>2134</v>
      </c>
      <c r="I1241" t="s">
        <v>2142</v>
      </c>
      <c r="J1241" t="s">
        <v>2145</v>
      </c>
      <c r="K1241" t="s">
        <v>2153</v>
      </c>
      <c r="L1241" s="3">
        <v>2</v>
      </c>
      <c r="M1241" s="2">
        <v>12380.97</v>
      </c>
      <c r="N1241" s="5">
        <v>0</v>
      </c>
      <c r="O1241" s="2">
        <v>24761.94</v>
      </c>
      <c r="P1241" s="2">
        <v>4432.92</v>
      </c>
      <c r="Q1241" t="s">
        <v>2167</v>
      </c>
    </row>
    <row r="1242" spans="1:17">
      <c r="A1242" t="s">
        <v>1257</v>
      </c>
      <c r="B1242" s="1">
        <v>45960</v>
      </c>
      <c r="C1242" t="s">
        <v>1606</v>
      </c>
      <c r="D1242" t="s">
        <v>1904</v>
      </c>
      <c r="E1242" t="s">
        <v>2114</v>
      </c>
      <c r="F1242" t="s">
        <v>2119</v>
      </c>
      <c r="G1242" t="s">
        <v>2129</v>
      </c>
      <c r="H1242" t="s">
        <v>2139</v>
      </c>
      <c r="I1242" t="s">
        <v>2143</v>
      </c>
      <c r="J1242" t="s">
        <v>2149</v>
      </c>
      <c r="K1242" t="s">
        <v>2163</v>
      </c>
      <c r="L1242" s="3">
        <v>3</v>
      </c>
      <c r="M1242" s="2">
        <v>65844.17</v>
      </c>
      <c r="N1242" s="5">
        <v>0.1</v>
      </c>
      <c r="O1242" s="2">
        <v>177779.26</v>
      </c>
      <c r="P1242" s="2">
        <v>19595.759999999998</v>
      </c>
      <c r="Q1242" t="s">
        <v>2169</v>
      </c>
    </row>
    <row r="1243" spans="1:17">
      <c r="A1243" t="s">
        <v>1258</v>
      </c>
      <c r="B1243" s="1">
        <v>45960</v>
      </c>
      <c r="C1243" t="s">
        <v>1581</v>
      </c>
      <c r="D1243" t="s">
        <v>1879</v>
      </c>
      <c r="E1243" t="s">
        <v>2114</v>
      </c>
      <c r="F1243" t="s">
        <v>2118</v>
      </c>
      <c r="G1243" t="s">
        <v>2122</v>
      </c>
      <c r="H1243" t="s">
        <v>2133</v>
      </c>
      <c r="I1243" t="s">
        <v>2144</v>
      </c>
      <c r="J1243" t="s">
        <v>2147</v>
      </c>
      <c r="K1243" t="s">
        <v>2155</v>
      </c>
      <c r="L1243" s="3">
        <v>3</v>
      </c>
      <c r="M1243" s="2">
        <v>740.36</v>
      </c>
      <c r="N1243" s="5">
        <v>0</v>
      </c>
      <c r="O1243" s="2">
        <v>2221.08</v>
      </c>
      <c r="P1243" s="2">
        <v>360.94</v>
      </c>
      <c r="Q1243" t="s">
        <v>2168</v>
      </c>
    </row>
    <row r="1244" spans="1:17">
      <c r="A1244" t="s">
        <v>1259</v>
      </c>
      <c r="B1244" s="1">
        <v>45961</v>
      </c>
      <c r="C1244" t="s">
        <v>1656</v>
      </c>
      <c r="D1244" t="s">
        <v>1954</v>
      </c>
      <c r="E1244" t="s">
        <v>2113</v>
      </c>
      <c r="F1244" t="s">
        <v>2117</v>
      </c>
      <c r="G1244" t="s">
        <v>2123</v>
      </c>
      <c r="H1244" t="s">
        <v>2134</v>
      </c>
      <c r="I1244" t="s">
        <v>2143</v>
      </c>
      <c r="J1244" t="s">
        <v>2149</v>
      </c>
      <c r="K1244" t="s">
        <v>2158</v>
      </c>
      <c r="L1244" s="3">
        <v>1</v>
      </c>
      <c r="M1244" s="2">
        <v>50357.07</v>
      </c>
      <c r="N1244" s="5">
        <v>0.05</v>
      </c>
      <c r="O1244" s="2">
        <v>47839.22</v>
      </c>
      <c r="P1244" s="2">
        <v>4028.79</v>
      </c>
      <c r="Q1244" t="s">
        <v>2170</v>
      </c>
    </row>
    <row r="1245" spans="1:17">
      <c r="A1245" t="s">
        <v>1260</v>
      </c>
      <c r="B1245" s="1">
        <v>45961</v>
      </c>
      <c r="C1245" t="s">
        <v>1556</v>
      </c>
      <c r="D1245" t="s">
        <v>1854</v>
      </c>
      <c r="E1245" t="s">
        <v>2114</v>
      </c>
      <c r="F1245" t="s">
        <v>2117</v>
      </c>
      <c r="G1245" t="s">
        <v>2121</v>
      </c>
      <c r="H1245" t="s">
        <v>2132</v>
      </c>
      <c r="I1245" t="s">
        <v>2144</v>
      </c>
      <c r="J1245" t="s">
        <v>2152</v>
      </c>
      <c r="K1245" t="s">
        <v>2162</v>
      </c>
      <c r="L1245" s="3">
        <v>1</v>
      </c>
      <c r="M1245" s="2">
        <v>343.65</v>
      </c>
      <c r="N1245" s="5">
        <v>0.1</v>
      </c>
      <c r="O1245" s="2">
        <v>309.27999999999997</v>
      </c>
      <c r="P1245" s="2">
        <v>77.86</v>
      </c>
      <c r="Q1245" t="s">
        <v>2170</v>
      </c>
    </row>
    <row r="1246" spans="1:17">
      <c r="A1246" t="s">
        <v>1261</v>
      </c>
      <c r="B1246" s="1">
        <v>45961</v>
      </c>
      <c r="C1246" t="s">
        <v>1669</v>
      </c>
      <c r="D1246" t="s">
        <v>1967</v>
      </c>
      <c r="E1246" t="s">
        <v>2114</v>
      </c>
      <c r="F1246" t="s">
        <v>2117</v>
      </c>
      <c r="G1246" t="s">
        <v>2125</v>
      </c>
      <c r="H1246" t="s">
        <v>2136</v>
      </c>
      <c r="I1246" t="s">
        <v>2143</v>
      </c>
      <c r="J1246" t="s">
        <v>2149</v>
      </c>
      <c r="K1246" t="s">
        <v>2163</v>
      </c>
      <c r="L1246" s="3">
        <v>1</v>
      </c>
      <c r="M1246" s="2">
        <v>65936.97</v>
      </c>
      <c r="N1246" s="5">
        <v>0.15</v>
      </c>
      <c r="O1246" s="2">
        <v>56046.42</v>
      </c>
      <c r="P1246" s="2">
        <v>3264.38</v>
      </c>
      <c r="Q1246" t="s">
        <v>2168</v>
      </c>
    </row>
    <row r="1247" spans="1:17">
      <c r="A1247" t="s">
        <v>1262</v>
      </c>
      <c r="B1247" s="1">
        <v>45962</v>
      </c>
      <c r="C1247" t="s">
        <v>1585</v>
      </c>
      <c r="D1247" t="s">
        <v>1883</v>
      </c>
      <c r="E1247" t="s">
        <v>2114</v>
      </c>
      <c r="F1247" t="s">
        <v>2116</v>
      </c>
      <c r="G1247" t="s">
        <v>2120</v>
      </c>
      <c r="H1247" t="s">
        <v>2131</v>
      </c>
      <c r="I1247" t="s">
        <v>2142</v>
      </c>
      <c r="J1247" t="s">
        <v>2145</v>
      </c>
      <c r="K1247" t="s">
        <v>2153</v>
      </c>
      <c r="L1247" s="3">
        <v>4</v>
      </c>
      <c r="M1247" s="2">
        <v>12330.29</v>
      </c>
      <c r="N1247" s="5">
        <v>0.1</v>
      </c>
      <c r="O1247" s="2">
        <v>44389.04</v>
      </c>
      <c r="P1247" s="2">
        <v>6164.79</v>
      </c>
      <c r="Q1247" t="s">
        <v>2167</v>
      </c>
    </row>
    <row r="1248" spans="1:17">
      <c r="A1248" t="s">
        <v>1263</v>
      </c>
      <c r="B1248" s="1">
        <v>45962</v>
      </c>
      <c r="C1248" t="s">
        <v>1597</v>
      </c>
      <c r="D1248" t="s">
        <v>1895</v>
      </c>
      <c r="E1248" t="s">
        <v>2114</v>
      </c>
      <c r="F1248" t="s">
        <v>2119</v>
      </c>
      <c r="G1248" t="s">
        <v>2129</v>
      </c>
      <c r="H1248" t="s">
        <v>2139</v>
      </c>
      <c r="I1248" t="s">
        <v>2143</v>
      </c>
      <c r="J1248" t="s">
        <v>2148</v>
      </c>
      <c r="K1248" t="s">
        <v>2156</v>
      </c>
      <c r="L1248" s="3">
        <v>3</v>
      </c>
      <c r="M1248" s="2">
        <v>1187.02</v>
      </c>
      <c r="N1248" s="5">
        <v>0</v>
      </c>
      <c r="O1248" s="2">
        <v>3561.06</v>
      </c>
      <c r="P1248" s="2">
        <v>731.42</v>
      </c>
      <c r="Q1248" t="s">
        <v>2168</v>
      </c>
    </row>
    <row r="1249" spans="1:17">
      <c r="A1249" t="s">
        <v>1264</v>
      </c>
      <c r="B1249" s="1">
        <v>45963</v>
      </c>
      <c r="C1249" t="s">
        <v>1608</v>
      </c>
      <c r="D1249" t="s">
        <v>1906</v>
      </c>
      <c r="E1249" t="s">
        <v>2114</v>
      </c>
      <c r="F1249" t="s">
        <v>2117</v>
      </c>
      <c r="G1249" t="s">
        <v>2121</v>
      </c>
      <c r="H1249" t="s">
        <v>2132</v>
      </c>
      <c r="I1249" t="s">
        <v>2144</v>
      </c>
      <c r="J1249" t="s">
        <v>2150</v>
      </c>
      <c r="K1249" t="s">
        <v>2159</v>
      </c>
      <c r="L1249" s="3">
        <v>4</v>
      </c>
      <c r="M1249" s="2">
        <v>451.66</v>
      </c>
      <c r="N1249" s="5">
        <v>0.15</v>
      </c>
      <c r="O1249" s="2">
        <v>1535.64</v>
      </c>
      <c r="P1249" s="2">
        <v>423.83</v>
      </c>
      <c r="Q1249" t="s">
        <v>2170</v>
      </c>
    </row>
    <row r="1250" spans="1:17">
      <c r="A1250" t="s">
        <v>1265</v>
      </c>
      <c r="B1250" s="1">
        <v>45963</v>
      </c>
      <c r="C1250" t="s">
        <v>1598</v>
      </c>
      <c r="D1250" t="s">
        <v>1896</v>
      </c>
      <c r="E1250" t="s">
        <v>2114</v>
      </c>
      <c r="F1250" t="s">
        <v>2118</v>
      </c>
      <c r="G1250" t="s">
        <v>2128</v>
      </c>
      <c r="H1250" t="s">
        <v>2128</v>
      </c>
      <c r="I1250" t="s">
        <v>2142</v>
      </c>
      <c r="J1250" t="s">
        <v>2145</v>
      </c>
      <c r="K1250" t="s">
        <v>2153</v>
      </c>
      <c r="L1250" s="3">
        <v>1</v>
      </c>
      <c r="M1250" s="2">
        <v>11997.8</v>
      </c>
      <c r="N1250" s="5">
        <v>0</v>
      </c>
      <c r="O1250" s="2">
        <v>11997.8</v>
      </c>
      <c r="P1250" s="2">
        <v>2353.89</v>
      </c>
      <c r="Q1250" t="s">
        <v>2170</v>
      </c>
    </row>
    <row r="1251" spans="1:17">
      <c r="A1251" t="s">
        <v>1266</v>
      </c>
      <c r="B1251" s="1">
        <v>45963</v>
      </c>
      <c r="C1251" t="s">
        <v>1686</v>
      </c>
      <c r="D1251" t="s">
        <v>1984</v>
      </c>
      <c r="E1251" t="s">
        <v>2114</v>
      </c>
      <c r="F1251" t="s">
        <v>2117</v>
      </c>
      <c r="G1251" t="s">
        <v>2123</v>
      </c>
      <c r="H1251" t="s">
        <v>2134</v>
      </c>
      <c r="I1251" t="s">
        <v>2143</v>
      </c>
      <c r="J1251" t="s">
        <v>2146</v>
      </c>
      <c r="K1251" t="s">
        <v>2154</v>
      </c>
      <c r="L1251" s="3">
        <v>2</v>
      </c>
      <c r="M1251" s="2">
        <v>43962.3</v>
      </c>
      <c r="N1251" s="5">
        <v>0.15</v>
      </c>
      <c r="O1251" s="2">
        <v>74735.91</v>
      </c>
      <c r="P1251" s="2">
        <v>8345.09</v>
      </c>
      <c r="Q1251" t="s">
        <v>2169</v>
      </c>
    </row>
    <row r="1252" spans="1:17">
      <c r="A1252" t="s">
        <v>1267</v>
      </c>
      <c r="B1252" s="1">
        <v>45963</v>
      </c>
      <c r="C1252" t="s">
        <v>1558</v>
      </c>
      <c r="D1252" t="s">
        <v>1856</v>
      </c>
      <c r="E1252" t="s">
        <v>2114</v>
      </c>
      <c r="F1252" t="s">
        <v>2118</v>
      </c>
      <c r="G1252" t="s">
        <v>2126</v>
      </c>
      <c r="H1252" t="s">
        <v>2137</v>
      </c>
      <c r="I1252" t="s">
        <v>2143</v>
      </c>
      <c r="J1252" t="s">
        <v>2148</v>
      </c>
      <c r="K1252" t="s">
        <v>2161</v>
      </c>
      <c r="L1252" s="3">
        <v>1</v>
      </c>
      <c r="M1252" s="2">
        <v>1834.44</v>
      </c>
      <c r="N1252" s="5">
        <v>0.05</v>
      </c>
      <c r="O1252" s="2">
        <v>1742.72</v>
      </c>
      <c r="P1252" s="2">
        <v>290.91000000000003</v>
      </c>
      <c r="Q1252" t="s">
        <v>2170</v>
      </c>
    </row>
    <row r="1253" spans="1:17">
      <c r="A1253" t="s">
        <v>1268</v>
      </c>
      <c r="B1253" s="1">
        <v>45963</v>
      </c>
      <c r="C1253" t="s">
        <v>1574</v>
      </c>
      <c r="D1253" t="s">
        <v>1872</v>
      </c>
      <c r="E1253" t="s">
        <v>2114</v>
      </c>
      <c r="F1253" t="s">
        <v>2118</v>
      </c>
      <c r="G1253" t="s">
        <v>2128</v>
      </c>
      <c r="H1253" t="s">
        <v>2128</v>
      </c>
      <c r="I1253" t="s">
        <v>2143</v>
      </c>
      <c r="J1253" t="s">
        <v>2149</v>
      </c>
      <c r="K1253" t="s">
        <v>2163</v>
      </c>
      <c r="L1253" s="3">
        <v>1</v>
      </c>
      <c r="M1253" s="2">
        <v>67832.87</v>
      </c>
      <c r="N1253" s="5">
        <v>0.05</v>
      </c>
      <c r="O1253" s="2">
        <v>64441.23</v>
      </c>
      <c r="P1253" s="2">
        <v>8722.7800000000007</v>
      </c>
      <c r="Q1253" t="s">
        <v>2167</v>
      </c>
    </row>
    <row r="1254" spans="1:17">
      <c r="A1254" t="s">
        <v>1269</v>
      </c>
      <c r="B1254" s="1">
        <v>45964</v>
      </c>
      <c r="C1254" t="s">
        <v>1530</v>
      </c>
      <c r="D1254" t="s">
        <v>1828</v>
      </c>
      <c r="E1254" t="s">
        <v>2115</v>
      </c>
      <c r="F1254" t="s">
        <v>2116</v>
      </c>
      <c r="G1254" t="s">
        <v>2120</v>
      </c>
      <c r="H1254" t="s">
        <v>2131</v>
      </c>
      <c r="I1254" t="s">
        <v>2144</v>
      </c>
      <c r="J1254" t="s">
        <v>2152</v>
      </c>
      <c r="K1254" t="s">
        <v>2162</v>
      </c>
      <c r="L1254" s="3">
        <v>1</v>
      </c>
      <c r="M1254" s="2">
        <v>344.29</v>
      </c>
      <c r="N1254" s="5">
        <v>0.2</v>
      </c>
      <c r="O1254" s="2">
        <v>275.43</v>
      </c>
      <c r="P1254" s="2">
        <v>34.96</v>
      </c>
      <c r="Q1254" t="s">
        <v>2170</v>
      </c>
    </row>
    <row r="1255" spans="1:17">
      <c r="A1255" t="s">
        <v>1270</v>
      </c>
      <c r="B1255" s="1">
        <v>45964</v>
      </c>
      <c r="C1255" t="s">
        <v>1573</v>
      </c>
      <c r="D1255" t="s">
        <v>1871</v>
      </c>
      <c r="E1255" t="s">
        <v>2115</v>
      </c>
      <c r="F1255" t="s">
        <v>2119</v>
      </c>
      <c r="G1255" t="s">
        <v>2124</v>
      </c>
      <c r="H1255" t="s">
        <v>2135</v>
      </c>
      <c r="I1255" t="s">
        <v>2143</v>
      </c>
      <c r="J1255" t="s">
        <v>2146</v>
      </c>
      <c r="K1255" t="s">
        <v>2164</v>
      </c>
      <c r="L1255" s="3">
        <v>1</v>
      </c>
      <c r="M1255" s="2">
        <v>18666.04</v>
      </c>
      <c r="N1255" s="5">
        <v>0</v>
      </c>
      <c r="O1255" s="2">
        <v>18666.04</v>
      </c>
      <c r="P1255" s="2">
        <v>3155.58</v>
      </c>
      <c r="Q1255" t="s">
        <v>2170</v>
      </c>
    </row>
    <row r="1256" spans="1:17">
      <c r="A1256" t="s">
        <v>1271</v>
      </c>
      <c r="B1256" s="1">
        <v>45964</v>
      </c>
      <c r="C1256" t="s">
        <v>1566</v>
      </c>
      <c r="D1256" t="s">
        <v>1864</v>
      </c>
      <c r="E1256" t="s">
        <v>2113</v>
      </c>
      <c r="F1256" t="s">
        <v>2117</v>
      </c>
      <c r="G1256" t="s">
        <v>2123</v>
      </c>
      <c r="H1256" t="s">
        <v>2134</v>
      </c>
      <c r="I1256" t="s">
        <v>2143</v>
      </c>
      <c r="J1256" t="s">
        <v>2148</v>
      </c>
      <c r="K1256" t="s">
        <v>2161</v>
      </c>
      <c r="L1256" s="3">
        <v>1</v>
      </c>
      <c r="M1256" s="2">
        <v>1839.96</v>
      </c>
      <c r="N1256" s="5">
        <v>0.1</v>
      </c>
      <c r="O1256" s="2">
        <v>1655.96</v>
      </c>
      <c r="P1256" s="2">
        <v>264.85000000000002</v>
      </c>
      <c r="Q1256" t="s">
        <v>2170</v>
      </c>
    </row>
    <row r="1257" spans="1:17">
      <c r="A1257" t="s">
        <v>1272</v>
      </c>
      <c r="B1257" s="1">
        <v>45964</v>
      </c>
      <c r="C1257" t="s">
        <v>1684</v>
      </c>
      <c r="D1257" t="s">
        <v>1982</v>
      </c>
      <c r="E1257" t="s">
        <v>2114</v>
      </c>
      <c r="F1257" t="s">
        <v>2118</v>
      </c>
      <c r="G1257" t="s">
        <v>2128</v>
      </c>
      <c r="H1257" t="s">
        <v>2128</v>
      </c>
      <c r="I1257" t="s">
        <v>2143</v>
      </c>
      <c r="J1257" t="s">
        <v>2146</v>
      </c>
      <c r="K1257" t="s">
        <v>2154</v>
      </c>
      <c r="L1257" s="3">
        <v>2</v>
      </c>
      <c r="M1257" s="2">
        <v>39988.44</v>
      </c>
      <c r="N1257" s="5">
        <v>0.1</v>
      </c>
      <c r="O1257" s="2">
        <v>71979.19</v>
      </c>
      <c r="P1257" s="2">
        <v>3781.5</v>
      </c>
      <c r="Q1257" t="s">
        <v>2170</v>
      </c>
    </row>
    <row r="1258" spans="1:17">
      <c r="A1258" t="s">
        <v>1273</v>
      </c>
      <c r="B1258" s="1">
        <v>45964</v>
      </c>
      <c r="C1258" t="s">
        <v>1736</v>
      </c>
      <c r="D1258" t="s">
        <v>2034</v>
      </c>
      <c r="E1258" t="s">
        <v>2114</v>
      </c>
      <c r="F1258" t="s">
        <v>2117</v>
      </c>
      <c r="G1258" t="s">
        <v>2125</v>
      </c>
      <c r="H1258" t="s">
        <v>2136</v>
      </c>
      <c r="I1258" t="s">
        <v>2143</v>
      </c>
      <c r="J1258" t="s">
        <v>2149</v>
      </c>
      <c r="K1258" t="s">
        <v>2158</v>
      </c>
      <c r="L1258" s="3">
        <v>3</v>
      </c>
      <c r="M1258" s="2">
        <v>49413.85</v>
      </c>
      <c r="N1258" s="5">
        <v>0.2</v>
      </c>
      <c r="O1258" s="2">
        <v>118593.24</v>
      </c>
      <c r="P1258" s="2">
        <v>5809.45</v>
      </c>
      <c r="Q1258" t="s">
        <v>2170</v>
      </c>
    </row>
    <row r="1259" spans="1:17">
      <c r="A1259" t="s">
        <v>1274</v>
      </c>
      <c r="B1259" s="1">
        <v>45964</v>
      </c>
      <c r="C1259" t="s">
        <v>1678</v>
      </c>
      <c r="D1259" t="s">
        <v>1976</v>
      </c>
      <c r="E1259" t="s">
        <v>2114</v>
      </c>
      <c r="F1259" t="s">
        <v>2116</v>
      </c>
      <c r="G1259" t="s">
        <v>2120</v>
      </c>
      <c r="H1259" t="s">
        <v>2131</v>
      </c>
      <c r="I1259" t="s">
        <v>2143</v>
      </c>
      <c r="J1259" t="s">
        <v>2149</v>
      </c>
      <c r="K1259" t="s">
        <v>2158</v>
      </c>
      <c r="L1259" s="3">
        <v>1</v>
      </c>
      <c r="M1259" s="2">
        <v>46525.22</v>
      </c>
      <c r="N1259" s="5">
        <v>0</v>
      </c>
      <c r="O1259" s="2">
        <v>46525.22</v>
      </c>
      <c r="P1259" s="2">
        <v>7465.71</v>
      </c>
      <c r="Q1259" t="s">
        <v>2170</v>
      </c>
    </row>
    <row r="1260" spans="1:17">
      <c r="A1260" t="s">
        <v>1275</v>
      </c>
      <c r="B1260" s="1">
        <v>45964</v>
      </c>
      <c r="C1260" t="s">
        <v>1754</v>
      </c>
      <c r="D1260" t="s">
        <v>2052</v>
      </c>
      <c r="E1260" t="s">
        <v>2113</v>
      </c>
      <c r="F1260" t="s">
        <v>2116</v>
      </c>
      <c r="G1260" t="s">
        <v>2127</v>
      </c>
      <c r="H1260" t="s">
        <v>2140</v>
      </c>
      <c r="I1260" t="s">
        <v>2144</v>
      </c>
      <c r="J1260" t="s">
        <v>2147</v>
      </c>
      <c r="K1260" t="s">
        <v>2155</v>
      </c>
      <c r="L1260" s="3">
        <v>5</v>
      </c>
      <c r="M1260" s="2">
        <v>777.14</v>
      </c>
      <c r="N1260" s="5">
        <v>0.15</v>
      </c>
      <c r="O1260" s="2">
        <v>3302.84</v>
      </c>
      <c r="P1260" s="2">
        <v>952.01</v>
      </c>
      <c r="Q1260" t="s">
        <v>2170</v>
      </c>
    </row>
    <row r="1261" spans="1:17">
      <c r="A1261" t="s">
        <v>1276</v>
      </c>
      <c r="B1261" s="1">
        <v>45965</v>
      </c>
      <c r="C1261" t="s">
        <v>1537</v>
      </c>
      <c r="D1261" t="s">
        <v>1835</v>
      </c>
      <c r="E1261" t="s">
        <v>2113</v>
      </c>
      <c r="F1261" t="s">
        <v>2119</v>
      </c>
      <c r="G1261" t="s">
        <v>2124</v>
      </c>
      <c r="H1261" t="s">
        <v>2135</v>
      </c>
      <c r="I1261" t="s">
        <v>2143</v>
      </c>
      <c r="J1261" t="s">
        <v>2146</v>
      </c>
      <c r="K1261" t="s">
        <v>2154</v>
      </c>
      <c r="L1261" s="3">
        <v>1</v>
      </c>
      <c r="M1261" s="2">
        <v>44086.13</v>
      </c>
      <c r="N1261" s="5">
        <v>0.1</v>
      </c>
      <c r="O1261" s="2">
        <v>39677.519999999997</v>
      </c>
      <c r="P1261" s="2">
        <v>6688.65</v>
      </c>
      <c r="Q1261" t="s">
        <v>2167</v>
      </c>
    </row>
    <row r="1262" spans="1:17">
      <c r="A1262" t="s">
        <v>1277</v>
      </c>
      <c r="B1262" s="1">
        <v>45965</v>
      </c>
      <c r="C1262" t="s">
        <v>1743</v>
      </c>
      <c r="D1262" t="s">
        <v>2041</v>
      </c>
      <c r="E1262" t="s">
        <v>2114</v>
      </c>
      <c r="F1262" t="s">
        <v>2119</v>
      </c>
      <c r="G1262" t="s">
        <v>2130</v>
      </c>
      <c r="H1262" t="s">
        <v>2141</v>
      </c>
      <c r="I1262" t="s">
        <v>2143</v>
      </c>
      <c r="J1262" t="s">
        <v>2148</v>
      </c>
      <c r="K1262" t="s">
        <v>2161</v>
      </c>
      <c r="L1262" s="3">
        <v>3</v>
      </c>
      <c r="M1262" s="2">
        <v>1861.44</v>
      </c>
      <c r="N1262" s="5">
        <v>0.05</v>
      </c>
      <c r="O1262" s="2">
        <v>5305.1</v>
      </c>
      <c r="P1262" s="2">
        <v>854.57</v>
      </c>
      <c r="Q1262" t="s">
        <v>2167</v>
      </c>
    </row>
    <row r="1263" spans="1:17">
      <c r="A1263" t="s">
        <v>1278</v>
      </c>
      <c r="B1263" s="1">
        <v>45965</v>
      </c>
      <c r="C1263" t="s">
        <v>1641</v>
      </c>
      <c r="D1263" t="s">
        <v>1939</v>
      </c>
      <c r="E1263" t="s">
        <v>2114</v>
      </c>
      <c r="F1263" t="s">
        <v>2118</v>
      </c>
      <c r="G1263" t="s">
        <v>2126</v>
      </c>
      <c r="H1263" t="s">
        <v>2137</v>
      </c>
      <c r="I1263" t="s">
        <v>2144</v>
      </c>
      <c r="J1263" t="s">
        <v>2147</v>
      </c>
      <c r="K1263" t="s">
        <v>2155</v>
      </c>
      <c r="L1263" s="3">
        <v>1</v>
      </c>
      <c r="M1263" s="2">
        <v>740.36</v>
      </c>
      <c r="N1263" s="5">
        <v>0</v>
      </c>
      <c r="O1263" s="2">
        <v>740.36</v>
      </c>
      <c r="P1263" s="2">
        <v>150.41999999999999</v>
      </c>
      <c r="Q1263" t="s">
        <v>2170</v>
      </c>
    </row>
    <row r="1264" spans="1:17">
      <c r="A1264" t="s">
        <v>1279</v>
      </c>
      <c r="B1264" s="1">
        <v>45965</v>
      </c>
      <c r="C1264" t="s">
        <v>1577</v>
      </c>
      <c r="D1264" t="s">
        <v>1875</v>
      </c>
      <c r="E1264" t="s">
        <v>2114</v>
      </c>
      <c r="F1264" t="s">
        <v>2118</v>
      </c>
      <c r="G1264" t="s">
        <v>2128</v>
      </c>
      <c r="H1264" t="s">
        <v>2128</v>
      </c>
      <c r="I1264" t="s">
        <v>2142</v>
      </c>
      <c r="J1264" t="s">
        <v>2145</v>
      </c>
      <c r="K1264" t="s">
        <v>2165</v>
      </c>
      <c r="L1264" s="3">
        <v>4</v>
      </c>
      <c r="M1264" s="2">
        <v>6365.8</v>
      </c>
      <c r="N1264" s="5">
        <v>0.05</v>
      </c>
      <c r="O1264" s="2">
        <v>24190.04</v>
      </c>
      <c r="P1264" s="2">
        <v>3710.75</v>
      </c>
      <c r="Q1264" t="s">
        <v>2167</v>
      </c>
    </row>
    <row r="1265" spans="1:17">
      <c r="A1265" t="s">
        <v>1280</v>
      </c>
      <c r="B1265" s="1">
        <v>45966</v>
      </c>
      <c r="C1265" t="s">
        <v>1754</v>
      </c>
      <c r="D1265" t="s">
        <v>2052</v>
      </c>
      <c r="E1265" t="s">
        <v>2115</v>
      </c>
      <c r="F1265" t="s">
        <v>2116</v>
      </c>
      <c r="G1265" t="s">
        <v>2120</v>
      </c>
      <c r="H1265" t="s">
        <v>2131</v>
      </c>
      <c r="I1265" t="s">
        <v>2143</v>
      </c>
      <c r="J1265" t="s">
        <v>2146</v>
      </c>
      <c r="K1265" t="s">
        <v>2164</v>
      </c>
      <c r="L1265" s="3">
        <v>2</v>
      </c>
      <c r="M1265" s="2">
        <v>18520.099999999999</v>
      </c>
      <c r="N1265" s="5">
        <v>0.05</v>
      </c>
      <c r="O1265" s="2">
        <v>35188.19</v>
      </c>
      <c r="P1265" s="2">
        <v>5606.91</v>
      </c>
      <c r="Q1265" t="s">
        <v>2170</v>
      </c>
    </row>
    <row r="1266" spans="1:17">
      <c r="A1266" t="s">
        <v>1281</v>
      </c>
      <c r="B1266" s="1">
        <v>45966</v>
      </c>
      <c r="C1266" t="s">
        <v>1736</v>
      </c>
      <c r="D1266" t="s">
        <v>2034</v>
      </c>
      <c r="E1266" t="s">
        <v>2114</v>
      </c>
      <c r="F1266" t="s">
        <v>2116</v>
      </c>
      <c r="G1266" t="s">
        <v>2120</v>
      </c>
      <c r="H1266" t="s">
        <v>2131</v>
      </c>
      <c r="I1266" t="s">
        <v>2144</v>
      </c>
      <c r="J1266" t="s">
        <v>2147</v>
      </c>
      <c r="K1266" t="s">
        <v>2155</v>
      </c>
      <c r="L1266" s="3">
        <v>1</v>
      </c>
      <c r="M1266" s="2">
        <v>762.52</v>
      </c>
      <c r="N1266" s="5">
        <v>0.05</v>
      </c>
      <c r="O1266" s="2">
        <v>724.39</v>
      </c>
      <c r="P1266" s="2">
        <v>161.35</v>
      </c>
      <c r="Q1266" t="s">
        <v>2170</v>
      </c>
    </row>
    <row r="1267" spans="1:17">
      <c r="A1267" t="s">
        <v>1282</v>
      </c>
      <c r="B1267" s="1">
        <v>45966</v>
      </c>
      <c r="C1267" t="s">
        <v>1553</v>
      </c>
      <c r="D1267" t="s">
        <v>1851</v>
      </c>
      <c r="E1267" t="s">
        <v>2114</v>
      </c>
      <c r="F1267" t="s">
        <v>2117</v>
      </c>
      <c r="G1267" t="s">
        <v>2123</v>
      </c>
      <c r="H1267" t="s">
        <v>2134</v>
      </c>
      <c r="I1267" t="s">
        <v>2143</v>
      </c>
      <c r="J1267" t="s">
        <v>2148</v>
      </c>
      <c r="K1267" t="s">
        <v>2156</v>
      </c>
      <c r="L1267" s="3">
        <v>3</v>
      </c>
      <c r="M1267" s="2">
        <v>1211.24</v>
      </c>
      <c r="N1267" s="5">
        <v>0</v>
      </c>
      <c r="O1267" s="2">
        <v>3633.72</v>
      </c>
      <c r="P1267" s="2">
        <v>683.45</v>
      </c>
      <c r="Q1267" t="s">
        <v>2170</v>
      </c>
    </row>
    <row r="1268" spans="1:17">
      <c r="A1268" t="s">
        <v>1283</v>
      </c>
      <c r="B1268" s="1">
        <v>45966</v>
      </c>
      <c r="C1268" t="s">
        <v>1676</v>
      </c>
      <c r="D1268" t="s">
        <v>1974</v>
      </c>
      <c r="E1268" t="s">
        <v>2114</v>
      </c>
      <c r="F1268" t="s">
        <v>2116</v>
      </c>
      <c r="G1268" t="s">
        <v>2127</v>
      </c>
      <c r="H1268" t="s">
        <v>2140</v>
      </c>
      <c r="I1268" t="s">
        <v>2144</v>
      </c>
      <c r="J1268" t="s">
        <v>2152</v>
      </c>
      <c r="K1268" t="s">
        <v>2166</v>
      </c>
      <c r="L1268" s="3">
        <v>4</v>
      </c>
      <c r="M1268" s="2">
        <v>613.87</v>
      </c>
      <c r="N1268" s="5">
        <v>0</v>
      </c>
      <c r="O1268" s="2">
        <v>2455.48</v>
      </c>
      <c r="P1268" s="2">
        <v>796.55</v>
      </c>
      <c r="Q1268" t="s">
        <v>2169</v>
      </c>
    </row>
    <row r="1269" spans="1:17">
      <c r="A1269" t="s">
        <v>1284</v>
      </c>
      <c r="B1269" s="1">
        <v>45966</v>
      </c>
      <c r="C1269" t="s">
        <v>1809</v>
      </c>
      <c r="D1269" t="s">
        <v>2107</v>
      </c>
      <c r="E1269" t="s">
        <v>2115</v>
      </c>
      <c r="F1269" t="s">
        <v>2119</v>
      </c>
      <c r="G1269" t="s">
        <v>2130</v>
      </c>
      <c r="H1269" t="s">
        <v>2141</v>
      </c>
      <c r="I1269" t="s">
        <v>2142</v>
      </c>
      <c r="J1269" t="s">
        <v>2145</v>
      </c>
      <c r="K1269" t="s">
        <v>2165</v>
      </c>
      <c r="L1269" s="3">
        <v>1</v>
      </c>
      <c r="M1269" s="2">
        <v>6760.97</v>
      </c>
      <c r="N1269" s="5">
        <v>0.2</v>
      </c>
      <c r="O1269" s="2">
        <v>5408.78</v>
      </c>
      <c r="P1269" s="2">
        <v>557.55999999999995</v>
      </c>
      <c r="Q1269" t="s">
        <v>2168</v>
      </c>
    </row>
    <row r="1270" spans="1:17">
      <c r="A1270" t="s">
        <v>1285</v>
      </c>
      <c r="B1270" s="1">
        <v>45966</v>
      </c>
      <c r="C1270" t="s">
        <v>1562</v>
      </c>
      <c r="D1270" t="s">
        <v>1860</v>
      </c>
      <c r="E1270" t="s">
        <v>2114</v>
      </c>
      <c r="F1270" t="s">
        <v>2117</v>
      </c>
      <c r="G1270" t="s">
        <v>2121</v>
      </c>
      <c r="H1270" t="s">
        <v>2132</v>
      </c>
      <c r="I1270" t="s">
        <v>2143</v>
      </c>
      <c r="J1270" t="s">
        <v>2148</v>
      </c>
      <c r="K1270" t="s">
        <v>2156</v>
      </c>
      <c r="L1270" s="3">
        <v>4</v>
      </c>
      <c r="M1270" s="2">
        <v>1177.3699999999999</v>
      </c>
      <c r="N1270" s="5">
        <v>0.05</v>
      </c>
      <c r="O1270" s="2">
        <v>4474.01</v>
      </c>
      <c r="P1270" s="2">
        <v>443.99</v>
      </c>
      <c r="Q1270" t="s">
        <v>2167</v>
      </c>
    </row>
    <row r="1271" spans="1:17">
      <c r="A1271" t="s">
        <v>1286</v>
      </c>
      <c r="B1271" s="1">
        <v>45967</v>
      </c>
      <c r="C1271" t="s">
        <v>1647</v>
      </c>
      <c r="D1271" t="s">
        <v>1945</v>
      </c>
      <c r="E1271" t="s">
        <v>2114</v>
      </c>
      <c r="F1271" t="s">
        <v>2119</v>
      </c>
      <c r="G1271" t="s">
        <v>2130</v>
      </c>
      <c r="H1271" t="s">
        <v>2141</v>
      </c>
      <c r="I1271" t="s">
        <v>2142</v>
      </c>
      <c r="J1271" t="s">
        <v>2151</v>
      </c>
      <c r="K1271" t="s">
        <v>2160</v>
      </c>
      <c r="L1271" s="3">
        <v>2</v>
      </c>
      <c r="M1271" s="2">
        <v>8570.64</v>
      </c>
      <c r="N1271" s="5">
        <v>0.15</v>
      </c>
      <c r="O1271" s="2">
        <v>14570.09</v>
      </c>
      <c r="P1271" s="2">
        <v>3237.51</v>
      </c>
      <c r="Q1271" t="s">
        <v>2168</v>
      </c>
    </row>
    <row r="1272" spans="1:17">
      <c r="A1272" t="s">
        <v>1287</v>
      </c>
      <c r="B1272" s="1">
        <v>45967</v>
      </c>
      <c r="C1272" t="s">
        <v>1751</v>
      </c>
      <c r="D1272" t="s">
        <v>2049</v>
      </c>
      <c r="E1272" t="s">
        <v>2114</v>
      </c>
      <c r="F1272" t="s">
        <v>2116</v>
      </c>
      <c r="G1272" t="s">
        <v>2127</v>
      </c>
      <c r="H1272" t="s">
        <v>2140</v>
      </c>
      <c r="I1272" t="s">
        <v>2143</v>
      </c>
      <c r="J1272" t="s">
        <v>2149</v>
      </c>
      <c r="K1272" t="s">
        <v>2163</v>
      </c>
      <c r="L1272" s="3">
        <v>2</v>
      </c>
      <c r="M1272" s="2">
        <v>63188.05</v>
      </c>
      <c r="N1272" s="5">
        <v>0.15</v>
      </c>
      <c r="O1272" s="2">
        <v>107419.68</v>
      </c>
      <c r="P1272" s="2">
        <v>9455.4599999999991</v>
      </c>
      <c r="Q1272" t="s">
        <v>2167</v>
      </c>
    </row>
    <row r="1273" spans="1:17">
      <c r="A1273" t="s">
        <v>1288</v>
      </c>
      <c r="B1273" s="1">
        <v>45967</v>
      </c>
      <c r="C1273" t="s">
        <v>1721</v>
      </c>
      <c r="D1273" t="s">
        <v>2019</v>
      </c>
      <c r="E1273" t="s">
        <v>2113</v>
      </c>
      <c r="F1273" t="s">
        <v>2116</v>
      </c>
      <c r="G1273" t="s">
        <v>2127</v>
      </c>
      <c r="H1273" t="s">
        <v>2140</v>
      </c>
      <c r="I1273" t="s">
        <v>2144</v>
      </c>
      <c r="J1273" t="s">
        <v>2147</v>
      </c>
      <c r="K1273" t="s">
        <v>2155</v>
      </c>
      <c r="L1273" s="3">
        <v>3</v>
      </c>
      <c r="M1273" s="2">
        <v>779.55</v>
      </c>
      <c r="N1273" s="5">
        <v>0.1</v>
      </c>
      <c r="O1273" s="2">
        <v>2104.7800000000002</v>
      </c>
      <c r="P1273" s="2">
        <v>646.34</v>
      </c>
      <c r="Q1273" t="s">
        <v>2169</v>
      </c>
    </row>
    <row r="1274" spans="1:17">
      <c r="A1274" t="s">
        <v>1289</v>
      </c>
      <c r="B1274" s="1">
        <v>45968</v>
      </c>
      <c r="C1274" t="s">
        <v>1800</v>
      </c>
      <c r="D1274" t="s">
        <v>2098</v>
      </c>
      <c r="E1274" t="s">
        <v>2114</v>
      </c>
      <c r="F1274" t="s">
        <v>2116</v>
      </c>
      <c r="G1274" t="s">
        <v>2127</v>
      </c>
      <c r="H1274" t="s">
        <v>2140</v>
      </c>
      <c r="I1274" t="s">
        <v>2143</v>
      </c>
      <c r="J1274" t="s">
        <v>2146</v>
      </c>
      <c r="K1274" t="s">
        <v>2154</v>
      </c>
      <c r="L1274" s="3">
        <v>2</v>
      </c>
      <c r="M1274" s="2">
        <v>43939</v>
      </c>
      <c r="N1274" s="5">
        <v>0</v>
      </c>
      <c r="O1274" s="2">
        <v>87878</v>
      </c>
      <c r="P1274" s="2">
        <v>14842.1</v>
      </c>
      <c r="Q1274" t="s">
        <v>2170</v>
      </c>
    </row>
    <row r="1275" spans="1:17">
      <c r="A1275" t="s">
        <v>1290</v>
      </c>
      <c r="B1275" s="1">
        <v>45968</v>
      </c>
      <c r="C1275" t="s">
        <v>1585</v>
      </c>
      <c r="D1275" t="s">
        <v>1883</v>
      </c>
      <c r="E1275" t="s">
        <v>2113</v>
      </c>
      <c r="F1275" t="s">
        <v>2119</v>
      </c>
      <c r="G1275" t="s">
        <v>2130</v>
      </c>
      <c r="H1275" t="s">
        <v>2141</v>
      </c>
      <c r="I1275" t="s">
        <v>2142</v>
      </c>
      <c r="J1275" t="s">
        <v>2147</v>
      </c>
      <c r="K1275" t="s">
        <v>2157</v>
      </c>
      <c r="L1275" s="3">
        <v>2</v>
      </c>
      <c r="M1275" s="2">
        <v>15105.1</v>
      </c>
      <c r="N1275" s="5">
        <v>0</v>
      </c>
      <c r="O1275" s="2">
        <v>30210.2</v>
      </c>
      <c r="P1275" s="2">
        <v>4286.55</v>
      </c>
      <c r="Q1275" t="s">
        <v>2167</v>
      </c>
    </row>
    <row r="1276" spans="1:17">
      <c r="A1276" t="s">
        <v>1291</v>
      </c>
      <c r="B1276" s="1">
        <v>45968</v>
      </c>
      <c r="C1276" t="s">
        <v>1564</v>
      </c>
      <c r="D1276" t="s">
        <v>1862</v>
      </c>
      <c r="E1276" t="s">
        <v>2113</v>
      </c>
      <c r="F1276" t="s">
        <v>2118</v>
      </c>
      <c r="G1276" t="s">
        <v>2126</v>
      </c>
      <c r="H1276" t="s">
        <v>2137</v>
      </c>
      <c r="I1276" t="s">
        <v>2143</v>
      </c>
      <c r="J1276" t="s">
        <v>2149</v>
      </c>
      <c r="K1276" t="s">
        <v>2158</v>
      </c>
      <c r="L1276" s="3">
        <v>4</v>
      </c>
      <c r="M1276" s="2">
        <v>45931.93</v>
      </c>
      <c r="N1276" s="5">
        <v>0.05</v>
      </c>
      <c r="O1276" s="2">
        <v>174541.33</v>
      </c>
      <c r="P1276" s="2">
        <v>21178.33</v>
      </c>
      <c r="Q1276" t="s">
        <v>2170</v>
      </c>
    </row>
    <row r="1277" spans="1:17">
      <c r="A1277" t="s">
        <v>1292</v>
      </c>
      <c r="B1277" s="1">
        <v>45969</v>
      </c>
      <c r="C1277" t="s">
        <v>1622</v>
      </c>
      <c r="D1277" t="s">
        <v>1920</v>
      </c>
      <c r="E1277" t="s">
        <v>2113</v>
      </c>
      <c r="F1277" t="s">
        <v>2117</v>
      </c>
      <c r="G1277" t="s">
        <v>2123</v>
      </c>
      <c r="H1277" t="s">
        <v>2134</v>
      </c>
      <c r="I1277" t="s">
        <v>2143</v>
      </c>
      <c r="J1277" t="s">
        <v>2149</v>
      </c>
      <c r="K1277" t="s">
        <v>2158</v>
      </c>
      <c r="L1277" s="3">
        <v>1</v>
      </c>
      <c r="M1277" s="2">
        <v>45698.45</v>
      </c>
      <c r="N1277" s="5">
        <v>0.15</v>
      </c>
      <c r="O1277" s="2">
        <v>38843.68</v>
      </c>
      <c r="P1277" s="2">
        <v>2583.59</v>
      </c>
      <c r="Q1277" t="s">
        <v>2168</v>
      </c>
    </row>
    <row r="1278" spans="1:17">
      <c r="A1278" t="s">
        <v>1293</v>
      </c>
      <c r="B1278" s="1">
        <v>45970</v>
      </c>
      <c r="C1278" t="s">
        <v>1522</v>
      </c>
      <c r="D1278" t="s">
        <v>1820</v>
      </c>
      <c r="E1278" t="s">
        <v>2113</v>
      </c>
      <c r="F1278" t="s">
        <v>2119</v>
      </c>
      <c r="G1278" t="s">
        <v>2130</v>
      </c>
      <c r="H1278" t="s">
        <v>2141</v>
      </c>
      <c r="I1278" t="s">
        <v>2143</v>
      </c>
      <c r="J1278" t="s">
        <v>2146</v>
      </c>
      <c r="K1278" t="s">
        <v>2154</v>
      </c>
      <c r="L1278" s="3">
        <v>1</v>
      </c>
      <c r="M1278" s="2">
        <v>43720.17</v>
      </c>
      <c r="N1278" s="5">
        <v>0</v>
      </c>
      <c r="O1278" s="2">
        <v>43720.17</v>
      </c>
      <c r="P1278" s="2">
        <v>5147.97</v>
      </c>
      <c r="Q1278" t="s">
        <v>2169</v>
      </c>
    </row>
    <row r="1279" spans="1:17">
      <c r="A1279" t="s">
        <v>1294</v>
      </c>
      <c r="B1279" s="1">
        <v>45970</v>
      </c>
      <c r="C1279" t="s">
        <v>1809</v>
      </c>
      <c r="D1279" t="s">
        <v>2107</v>
      </c>
      <c r="E1279" t="s">
        <v>2115</v>
      </c>
      <c r="F1279" t="s">
        <v>2118</v>
      </c>
      <c r="G1279" t="s">
        <v>2128</v>
      </c>
      <c r="H1279" t="s">
        <v>2128</v>
      </c>
      <c r="I1279" t="s">
        <v>2142</v>
      </c>
      <c r="J1279" t="s">
        <v>2151</v>
      </c>
      <c r="K1279" t="s">
        <v>2160</v>
      </c>
      <c r="L1279" s="3">
        <v>1</v>
      </c>
      <c r="M1279" s="2">
        <v>8258.7900000000009</v>
      </c>
      <c r="N1279" s="5">
        <v>0</v>
      </c>
      <c r="O1279" s="2">
        <v>8258.7900000000009</v>
      </c>
      <c r="P1279" s="2">
        <v>1904.43</v>
      </c>
      <c r="Q1279" t="s">
        <v>2170</v>
      </c>
    </row>
    <row r="1280" spans="1:17">
      <c r="A1280" t="s">
        <v>1295</v>
      </c>
      <c r="B1280" s="1">
        <v>45970</v>
      </c>
      <c r="C1280" t="s">
        <v>1749</v>
      </c>
      <c r="D1280" t="s">
        <v>2047</v>
      </c>
      <c r="E1280" t="s">
        <v>2113</v>
      </c>
      <c r="F1280" t="s">
        <v>2116</v>
      </c>
      <c r="G1280" t="s">
        <v>2120</v>
      </c>
      <c r="H1280" t="s">
        <v>2131</v>
      </c>
      <c r="I1280" t="s">
        <v>2143</v>
      </c>
      <c r="J1280" t="s">
        <v>2148</v>
      </c>
      <c r="K1280" t="s">
        <v>2161</v>
      </c>
      <c r="L1280" s="3">
        <v>1</v>
      </c>
      <c r="M1280" s="2">
        <v>1756.12</v>
      </c>
      <c r="N1280" s="5">
        <v>0.05</v>
      </c>
      <c r="O1280" s="2">
        <v>1668.31</v>
      </c>
      <c r="P1280" s="2">
        <v>266.25</v>
      </c>
      <c r="Q1280" t="s">
        <v>2170</v>
      </c>
    </row>
    <row r="1281" spans="1:17">
      <c r="A1281" t="s">
        <v>1296</v>
      </c>
      <c r="B1281" s="1">
        <v>45970</v>
      </c>
      <c r="C1281" t="s">
        <v>1621</v>
      </c>
      <c r="D1281" t="s">
        <v>1919</v>
      </c>
      <c r="E1281" t="s">
        <v>2114</v>
      </c>
      <c r="F1281" t="s">
        <v>2117</v>
      </c>
      <c r="G1281" t="s">
        <v>2125</v>
      </c>
      <c r="H1281" t="s">
        <v>2136</v>
      </c>
      <c r="I1281" t="s">
        <v>2144</v>
      </c>
      <c r="J1281" t="s">
        <v>2147</v>
      </c>
      <c r="K1281" t="s">
        <v>2155</v>
      </c>
      <c r="L1281" s="3">
        <v>2</v>
      </c>
      <c r="M1281" s="2">
        <v>778.83</v>
      </c>
      <c r="N1281" s="5">
        <v>0.15</v>
      </c>
      <c r="O1281" s="2">
        <v>1324.01</v>
      </c>
      <c r="P1281" s="2">
        <v>247.11</v>
      </c>
      <c r="Q1281" t="s">
        <v>2168</v>
      </c>
    </row>
    <row r="1282" spans="1:17">
      <c r="A1282" t="s">
        <v>1297</v>
      </c>
      <c r="B1282" s="1">
        <v>45971</v>
      </c>
      <c r="C1282" t="s">
        <v>1712</v>
      </c>
      <c r="D1282" t="s">
        <v>2010</v>
      </c>
      <c r="E1282" t="s">
        <v>2114</v>
      </c>
      <c r="F1282" t="s">
        <v>2116</v>
      </c>
      <c r="G1282" t="s">
        <v>2127</v>
      </c>
      <c r="H1282" t="s">
        <v>2138</v>
      </c>
      <c r="I1282" t="s">
        <v>2143</v>
      </c>
      <c r="J1282" t="s">
        <v>2146</v>
      </c>
      <c r="K1282" t="s">
        <v>2154</v>
      </c>
      <c r="L1282" s="3">
        <v>1</v>
      </c>
      <c r="M1282" s="2">
        <v>40525.800000000003</v>
      </c>
      <c r="N1282" s="5">
        <v>0.1</v>
      </c>
      <c r="O1282" s="2">
        <v>36473.22</v>
      </c>
      <c r="P1282" s="2">
        <v>5423.93</v>
      </c>
      <c r="Q1282" t="s">
        <v>2169</v>
      </c>
    </row>
    <row r="1283" spans="1:17">
      <c r="A1283" t="s">
        <v>1298</v>
      </c>
      <c r="B1283" s="1">
        <v>45971</v>
      </c>
      <c r="C1283" t="s">
        <v>1622</v>
      </c>
      <c r="D1283" t="s">
        <v>1920</v>
      </c>
      <c r="E1283" t="s">
        <v>2115</v>
      </c>
      <c r="F1283" t="s">
        <v>2119</v>
      </c>
      <c r="G1283" t="s">
        <v>2129</v>
      </c>
      <c r="H1283" t="s">
        <v>2139</v>
      </c>
      <c r="I1283" t="s">
        <v>2143</v>
      </c>
      <c r="J1283" t="s">
        <v>2146</v>
      </c>
      <c r="K1283" t="s">
        <v>2164</v>
      </c>
      <c r="L1283" s="3">
        <v>3</v>
      </c>
      <c r="M1283" s="2">
        <v>18117.759999999998</v>
      </c>
      <c r="N1283" s="5">
        <v>0</v>
      </c>
      <c r="O1283" s="2">
        <v>54353.279999999999</v>
      </c>
      <c r="P1283" s="2">
        <v>7713.56</v>
      </c>
      <c r="Q1283" t="s">
        <v>2169</v>
      </c>
    </row>
    <row r="1284" spans="1:17">
      <c r="A1284" t="s">
        <v>1299</v>
      </c>
      <c r="B1284" s="1">
        <v>45971</v>
      </c>
      <c r="C1284" t="s">
        <v>1602</v>
      </c>
      <c r="D1284" t="s">
        <v>1900</v>
      </c>
      <c r="E1284" t="s">
        <v>2113</v>
      </c>
      <c r="F1284" t="s">
        <v>2117</v>
      </c>
      <c r="G1284" t="s">
        <v>2123</v>
      </c>
      <c r="H1284" t="s">
        <v>2134</v>
      </c>
      <c r="I1284" t="s">
        <v>2142</v>
      </c>
      <c r="J1284" t="s">
        <v>2147</v>
      </c>
      <c r="K1284" t="s">
        <v>2157</v>
      </c>
      <c r="L1284" s="3">
        <v>3</v>
      </c>
      <c r="M1284" s="2">
        <v>14556.11</v>
      </c>
      <c r="N1284" s="5">
        <v>0.05</v>
      </c>
      <c r="O1284" s="2">
        <v>41484.910000000003</v>
      </c>
      <c r="P1284" s="2">
        <v>7810.15</v>
      </c>
      <c r="Q1284" t="s">
        <v>2169</v>
      </c>
    </row>
    <row r="1285" spans="1:17">
      <c r="A1285" t="s">
        <v>1300</v>
      </c>
      <c r="B1285" s="1">
        <v>45971</v>
      </c>
      <c r="C1285" t="s">
        <v>1604</v>
      </c>
      <c r="D1285" t="s">
        <v>1902</v>
      </c>
      <c r="E1285" t="s">
        <v>2113</v>
      </c>
      <c r="F1285" t="s">
        <v>2119</v>
      </c>
      <c r="G1285" t="s">
        <v>2129</v>
      </c>
      <c r="H1285" t="s">
        <v>2139</v>
      </c>
      <c r="I1285" t="s">
        <v>2142</v>
      </c>
      <c r="J1285" t="s">
        <v>2145</v>
      </c>
      <c r="K1285" t="s">
        <v>2165</v>
      </c>
      <c r="L1285" s="3">
        <v>1</v>
      </c>
      <c r="M1285" s="2">
        <v>6459.44</v>
      </c>
      <c r="N1285" s="5">
        <v>0.1</v>
      </c>
      <c r="O1285" s="2">
        <v>5813.5</v>
      </c>
      <c r="P1285" s="2">
        <v>754.16</v>
      </c>
      <c r="Q1285" t="s">
        <v>2170</v>
      </c>
    </row>
    <row r="1286" spans="1:17">
      <c r="A1286" t="s">
        <v>1301</v>
      </c>
      <c r="B1286" s="1">
        <v>45971</v>
      </c>
      <c r="C1286" t="s">
        <v>1627</v>
      </c>
      <c r="D1286" t="s">
        <v>1925</v>
      </c>
      <c r="E1286" t="s">
        <v>2113</v>
      </c>
      <c r="F1286" t="s">
        <v>2116</v>
      </c>
      <c r="G1286" t="s">
        <v>2127</v>
      </c>
      <c r="H1286" t="s">
        <v>2140</v>
      </c>
      <c r="I1286" t="s">
        <v>2143</v>
      </c>
      <c r="J1286" t="s">
        <v>2149</v>
      </c>
      <c r="K1286" t="s">
        <v>2163</v>
      </c>
      <c r="L1286" s="3">
        <v>2</v>
      </c>
      <c r="M1286" s="2">
        <v>65731.179999999993</v>
      </c>
      <c r="N1286" s="5">
        <v>0</v>
      </c>
      <c r="O1286" s="2">
        <v>131462.35999999999</v>
      </c>
      <c r="P1286" s="2">
        <v>24098.82</v>
      </c>
      <c r="Q1286" t="s">
        <v>2168</v>
      </c>
    </row>
    <row r="1287" spans="1:17">
      <c r="A1287" t="s">
        <v>1302</v>
      </c>
      <c r="B1287" s="1">
        <v>45971</v>
      </c>
      <c r="C1287" t="s">
        <v>1805</v>
      </c>
      <c r="D1287" t="s">
        <v>2103</v>
      </c>
      <c r="E1287" t="s">
        <v>2115</v>
      </c>
      <c r="F1287" t="s">
        <v>2117</v>
      </c>
      <c r="G1287" t="s">
        <v>2121</v>
      </c>
      <c r="H1287" t="s">
        <v>2132</v>
      </c>
      <c r="I1287" t="s">
        <v>2143</v>
      </c>
      <c r="J1287" t="s">
        <v>2148</v>
      </c>
      <c r="K1287" t="s">
        <v>2156</v>
      </c>
      <c r="L1287" s="3">
        <v>1</v>
      </c>
      <c r="M1287" s="2">
        <v>1157.04</v>
      </c>
      <c r="N1287" s="5">
        <v>0</v>
      </c>
      <c r="O1287" s="2">
        <v>1157.04</v>
      </c>
      <c r="P1287" s="2">
        <v>148.91999999999999</v>
      </c>
      <c r="Q1287" t="s">
        <v>2168</v>
      </c>
    </row>
    <row r="1288" spans="1:17">
      <c r="A1288" t="s">
        <v>1303</v>
      </c>
      <c r="B1288" s="1">
        <v>45972</v>
      </c>
      <c r="C1288" t="s">
        <v>1556</v>
      </c>
      <c r="D1288" t="s">
        <v>1854</v>
      </c>
      <c r="E1288" t="s">
        <v>2113</v>
      </c>
      <c r="F1288" t="s">
        <v>2118</v>
      </c>
      <c r="G1288" t="s">
        <v>2122</v>
      </c>
      <c r="H1288" t="s">
        <v>2133</v>
      </c>
      <c r="I1288" t="s">
        <v>2143</v>
      </c>
      <c r="J1288" t="s">
        <v>2149</v>
      </c>
      <c r="K1288" t="s">
        <v>2158</v>
      </c>
      <c r="L1288" s="3">
        <v>3</v>
      </c>
      <c r="M1288" s="2">
        <v>48964.65</v>
      </c>
      <c r="N1288" s="5">
        <v>0.1</v>
      </c>
      <c r="O1288" s="2">
        <v>132204.56</v>
      </c>
      <c r="P1288" s="2">
        <v>24372.51</v>
      </c>
      <c r="Q1288" t="s">
        <v>2169</v>
      </c>
    </row>
    <row r="1289" spans="1:17">
      <c r="A1289" t="s">
        <v>1304</v>
      </c>
      <c r="B1289" s="1">
        <v>45973</v>
      </c>
      <c r="C1289" t="s">
        <v>1566</v>
      </c>
      <c r="D1289" t="s">
        <v>1864</v>
      </c>
      <c r="E1289" t="s">
        <v>2114</v>
      </c>
      <c r="F1289" t="s">
        <v>2118</v>
      </c>
      <c r="G1289" t="s">
        <v>2122</v>
      </c>
      <c r="H1289" t="s">
        <v>2133</v>
      </c>
      <c r="I1289" t="s">
        <v>2144</v>
      </c>
      <c r="J1289" t="s">
        <v>2150</v>
      </c>
      <c r="K1289" t="s">
        <v>2159</v>
      </c>
      <c r="L1289" s="3">
        <v>3</v>
      </c>
      <c r="M1289" s="2">
        <v>463.02</v>
      </c>
      <c r="N1289" s="5">
        <v>0</v>
      </c>
      <c r="O1289" s="2">
        <v>1389.06</v>
      </c>
      <c r="P1289" s="2">
        <v>255.06</v>
      </c>
      <c r="Q1289" t="s">
        <v>2170</v>
      </c>
    </row>
    <row r="1290" spans="1:17">
      <c r="A1290" t="s">
        <v>1305</v>
      </c>
      <c r="B1290" s="1">
        <v>45973</v>
      </c>
      <c r="C1290" t="s">
        <v>1753</v>
      </c>
      <c r="D1290" t="s">
        <v>2051</v>
      </c>
      <c r="E1290" t="s">
        <v>2114</v>
      </c>
      <c r="F1290" t="s">
        <v>2119</v>
      </c>
      <c r="G1290" t="s">
        <v>2130</v>
      </c>
      <c r="H1290" t="s">
        <v>2141</v>
      </c>
      <c r="I1290" t="s">
        <v>2142</v>
      </c>
      <c r="J1290" t="s">
        <v>2145</v>
      </c>
      <c r="K1290" t="s">
        <v>2153</v>
      </c>
      <c r="L1290" s="3">
        <v>1</v>
      </c>
      <c r="M1290" s="2">
        <v>11485.45</v>
      </c>
      <c r="N1290" s="5">
        <v>0.05</v>
      </c>
      <c r="O1290" s="2">
        <v>10911.18</v>
      </c>
      <c r="P1290" s="2">
        <v>2615.94</v>
      </c>
      <c r="Q1290" t="s">
        <v>2169</v>
      </c>
    </row>
    <row r="1291" spans="1:17">
      <c r="A1291" t="s">
        <v>1306</v>
      </c>
      <c r="B1291" s="1">
        <v>45973</v>
      </c>
      <c r="C1291" t="s">
        <v>1712</v>
      </c>
      <c r="D1291" t="s">
        <v>2010</v>
      </c>
      <c r="E1291" t="s">
        <v>2113</v>
      </c>
      <c r="F1291" t="s">
        <v>2117</v>
      </c>
      <c r="G1291" t="s">
        <v>2123</v>
      </c>
      <c r="H1291" t="s">
        <v>2134</v>
      </c>
      <c r="I1291" t="s">
        <v>2143</v>
      </c>
      <c r="J1291" t="s">
        <v>2148</v>
      </c>
      <c r="K1291" t="s">
        <v>2156</v>
      </c>
      <c r="L1291" s="3">
        <v>4</v>
      </c>
      <c r="M1291" s="2">
        <v>1142.51</v>
      </c>
      <c r="N1291" s="5">
        <v>0.05</v>
      </c>
      <c r="O1291" s="2">
        <v>4341.54</v>
      </c>
      <c r="P1291" s="2">
        <v>458.15</v>
      </c>
      <c r="Q1291" t="s">
        <v>2169</v>
      </c>
    </row>
    <row r="1292" spans="1:17">
      <c r="A1292" t="s">
        <v>1307</v>
      </c>
      <c r="B1292" s="1">
        <v>45974</v>
      </c>
      <c r="C1292" t="s">
        <v>1578</v>
      </c>
      <c r="D1292" t="s">
        <v>1876</v>
      </c>
      <c r="E1292" t="s">
        <v>2115</v>
      </c>
      <c r="F1292" t="s">
        <v>2118</v>
      </c>
      <c r="G1292" t="s">
        <v>2122</v>
      </c>
      <c r="H1292" t="s">
        <v>2133</v>
      </c>
      <c r="I1292" t="s">
        <v>2143</v>
      </c>
      <c r="J1292" t="s">
        <v>2148</v>
      </c>
      <c r="K1292" t="s">
        <v>2156</v>
      </c>
      <c r="L1292" s="3">
        <v>3</v>
      </c>
      <c r="M1292" s="2">
        <v>1223.1099999999999</v>
      </c>
      <c r="N1292" s="5">
        <v>0</v>
      </c>
      <c r="O1292" s="2">
        <v>3669.33</v>
      </c>
      <c r="P1292" s="2">
        <v>587.33000000000004</v>
      </c>
      <c r="Q1292" t="s">
        <v>2170</v>
      </c>
    </row>
    <row r="1293" spans="1:17">
      <c r="A1293" t="s">
        <v>1308</v>
      </c>
      <c r="B1293" s="1">
        <v>45974</v>
      </c>
      <c r="C1293" t="s">
        <v>1628</v>
      </c>
      <c r="D1293" t="s">
        <v>1926</v>
      </c>
      <c r="E1293" t="s">
        <v>2115</v>
      </c>
      <c r="F1293" t="s">
        <v>2118</v>
      </c>
      <c r="G1293" t="s">
        <v>2128</v>
      </c>
      <c r="H1293" t="s">
        <v>2128</v>
      </c>
      <c r="I1293" t="s">
        <v>2144</v>
      </c>
      <c r="J1293" t="s">
        <v>2147</v>
      </c>
      <c r="K1293" t="s">
        <v>2155</v>
      </c>
      <c r="L1293" s="3">
        <v>1</v>
      </c>
      <c r="M1293" s="2">
        <v>748.64</v>
      </c>
      <c r="N1293" s="5">
        <v>0.05</v>
      </c>
      <c r="O1293" s="2">
        <v>711.21</v>
      </c>
      <c r="P1293" s="2">
        <v>171.88</v>
      </c>
      <c r="Q1293" t="s">
        <v>2170</v>
      </c>
    </row>
    <row r="1294" spans="1:17">
      <c r="A1294" t="s">
        <v>1309</v>
      </c>
      <c r="B1294" s="1">
        <v>45974</v>
      </c>
      <c r="C1294" t="s">
        <v>1751</v>
      </c>
      <c r="D1294" t="s">
        <v>2049</v>
      </c>
      <c r="E1294" t="s">
        <v>2113</v>
      </c>
      <c r="F1294" t="s">
        <v>2117</v>
      </c>
      <c r="G1294" t="s">
        <v>2125</v>
      </c>
      <c r="H1294" t="s">
        <v>2136</v>
      </c>
      <c r="I1294" t="s">
        <v>2143</v>
      </c>
      <c r="J1294" t="s">
        <v>2149</v>
      </c>
      <c r="K1294" t="s">
        <v>2158</v>
      </c>
      <c r="L1294" s="3">
        <v>3</v>
      </c>
      <c r="M1294" s="2">
        <v>46560.72</v>
      </c>
      <c r="N1294" s="5">
        <v>0.15</v>
      </c>
      <c r="O1294" s="2">
        <v>118729.84</v>
      </c>
      <c r="P1294" s="2">
        <v>10035.790000000001</v>
      </c>
      <c r="Q1294" t="s">
        <v>2168</v>
      </c>
    </row>
    <row r="1295" spans="1:17">
      <c r="A1295" t="s">
        <v>1310</v>
      </c>
      <c r="B1295" s="1">
        <v>45974</v>
      </c>
      <c r="C1295" t="s">
        <v>1813</v>
      </c>
      <c r="D1295" t="s">
        <v>2111</v>
      </c>
      <c r="E1295" t="s">
        <v>2114</v>
      </c>
      <c r="F1295" t="s">
        <v>2119</v>
      </c>
      <c r="G1295" t="s">
        <v>2130</v>
      </c>
      <c r="H1295" t="s">
        <v>2141</v>
      </c>
      <c r="I1295" t="s">
        <v>2142</v>
      </c>
      <c r="J1295" t="s">
        <v>2147</v>
      </c>
      <c r="K1295" t="s">
        <v>2157</v>
      </c>
      <c r="L1295" s="3">
        <v>2</v>
      </c>
      <c r="M1295" s="2">
        <v>14910.29</v>
      </c>
      <c r="N1295" s="5">
        <v>0.2</v>
      </c>
      <c r="O1295" s="2">
        <v>23856.46</v>
      </c>
      <c r="P1295" s="2">
        <v>1617.55</v>
      </c>
      <c r="Q1295" t="s">
        <v>2168</v>
      </c>
    </row>
    <row r="1296" spans="1:17">
      <c r="A1296" t="s">
        <v>1311</v>
      </c>
      <c r="B1296" s="1">
        <v>45975</v>
      </c>
      <c r="C1296" t="s">
        <v>1774</v>
      </c>
      <c r="D1296" t="s">
        <v>2072</v>
      </c>
      <c r="E1296" t="s">
        <v>2114</v>
      </c>
      <c r="F1296" t="s">
        <v>2119</v>
      </c>
      <c r="G1296" t="s">
        <v>2129</v>
      </c>
      <c r="H1296" t="s">
        <v>2139</v>
      </c>
      <c r="I1296" t="s">
        <v>2143</v>
      </c>
      <c r="J1296" t="s">
        <v>2148</v>
      </c>
      <c r="K1296" t="s">
        <v>2161</v>
      </c>
      <c r="L1296" s="3">
        <v>2</v>
      </c>
      <c r="M1296" s="2">
        <v>1866.77</v>
      </c>
      <c r="N1296" s="5">
        <v>0.1</v>
      </c>
      <c r="O1296" s="2">
        <v>3360.19</v>
      </c>
      <c r="P1296" s="2">
        <v>503.79</v>
      </c>
      <c r="Q1296" t="s">
        <v>2168</v>
      </c>
    </row>
    <row r="1297" spans="1:17">
      <c r="A1297" t="s">
        <v>1312</v>
      </c>
      <c r="B1297" s="1">
        <v>45975</v>
      </c>
      <c r="C1297" t="s">
        <v>1536</v>
      </c>
      <c r="D1297" t="s">
        <v>1834</v>
      </c>
      <c r="E1297" t="s">
        <v>2115</v>
      </c>
      <c r="F1297" t="s">
        <v>2117</v>
      </c>
      <c r="G1297" t="s">
        <v>2121</v>
      </c>
      <c r="H1297" t="s">
        <v>2132</v>
      </c>
      <c r="I1297" t="s">
        <v>2144</v>
      </c>
      <c r="J1297" t="s">
        <v>2147</v>
      </c>
      <c r="K1297" t="s">
        <v>2155</v>
      </c>
      <c r="L1297" s="3">
        <v>3</v>
      </c>
      <c r="M1297" s="2">
        <v>770.97</v>
      </c>
      <c r="N1297" s="5">
        <v>0.05</v>
      </c>
      <c r="O1297" s="2">
        <v>2197.2600000000002</v>
      </c>
      <c r="P1297" s="2">
        <v>544.32000000000005</v>
      </c>
      <c r="Q1297" t="s">
        <v>2167</v>
      </c>
    </row>
    <row r="1298" spans="1:17">
      <c r="A1298" t="s">
        <v>1313</v>
      </c>
      <c r="B1298" s="1">
        <v>45975</v>
      </c>
      <c r="C1298" t="s">
        <v>1667</v>
      </c>
      <c r="D1298" t="s">
        <v>1965</v>
      </c>
      <c r="E1298" t="s">
        <v>2115</v>
      </c>
      <c r="F1298" t="s">
        <v>2116</v>
      </c>
      <c r="G1298" t="s">
        <v>2127</v>
      </c>
      <c r="H1298" t="s">
        <v>2138</v>
      </c>
      <c r="I1298" t="s">
        <v>2143</v>
      </c>
      <c r="J1298" t="s">
        <v>2149</v>
      </c>
      <c r="K1298" t="s">
        <v>2158</v>
      </c>
      <c r="L1298" s="3">
        <v>2</v>
      </c>
      <c r="M1298" s="2">
        <v>47806.02</v>
      </c>
      <c r="N1298" s="5">
        <v>0.05</v>
      </c>
      <c r="O1298" s="2">
        <v>90831.44</v>
      </c>
      <c r="P1298" s="2">
        <v>8462.2000000000007</v>
      </c>
      <c r="Q1298" t="s">
        <v>2169</v>
      </c>
    </row>
    <row r="1299" spans="1:17">
      <c r="A1299" t="s">
        <v>1314</v>
      </c>
      <c r="B1299" s="1">
        <v>45976</v>
      </c>
      <c r="C1299" t="s">
        <v>1700</v>
      </c>
      <c r="D1299" t="s">
        <v>1998</v>
      </c>
      <c r="E1299" t="s">
        <v>2114</v>
      </c>
      <c r="F1299" t="s">
        <v>2117</v>
      </c>
      <c r="G1299" t="s">
        <v>2121</v>
      </c>
      <c r="H1299" t="s">
        <v>2132</v>
      </c>
      <c r="I1299" t="s">
        <v>2144</v>
      </c>
      <c r="J1299" t="s">
        <v>2147</v>
      </c>
      <c r="K1299" t="s">
        <v>2155</v>
      </c>
      <c r="L1299" s="3">
        <v>2</v>
      </c>
      <c r="M1299" s="2">
        <v>717.67</v>
      </c>
      <c r="N1299" s="5">
        <v>0.1</v>
      </c>
      <c r="O1299" s="2">
        <v>1291.81</v>
      </c>
      <c r="P1299" s="2">
        <v>402.41</v>
      </c>
      <c r="Q1299" t="s">
        <v>2167</v>
      </c>
    </row>
    <row r="1300" spans="1:17">
      <c r="A1300" t="s">
        <v>1315</v>
      </c>
      <c r="B1300" s="1">
        <v>45976</v>
      </c>
      <c r="C1300" t="s">
        <v>1721</v>
      </c>
      <c r="D1300" t="s">
        <v>2019</v>
      </c>
      <c r="E1300" t="s">
        <v>2114</v>
      </c>
      <c r="F1300" t="s">
        <v>2116</v>
      </c>
      <c r="G1300" t="s">
        <v>2127</v>
      </c>
      <c r="H1300" t="s">
        <v>2138</v>
      </c>
      <c r="I1300" t="s">
        <v>2143</v>
      </c>
      <c r="J1300" t="s">
        <v>2148</v>
      </c>
      <c r="K1300" t="s">
        <v>2156</v>
      </c>
      <c r="L1300" s="3">
        <v>2</v>
      </c>
      <c r="M1300" s="2">
        <v>1197.0999999999999</v>
      </c>
      <c r="N1300" s="5">
        <v>0.1</v>
      </c>
      <c r="O1300" s="2">
        <v>2154.7800000000002</v>
      </c>
      <c r="P1300" s="2">
        <v>366.54</v>
      </c>
      <c r="Q1300" t="s">
        <v>2170</v>
      </c>
    </row>
    <row r="1301" spans="1:17">
      <c r="A1301" t="s">
        <v>1316</v>
      </c>
      <c r="B1301" s="1">
        <v>45976</v>
      </c>
      <c r="C1301" t="s">
        <v>1687</v>
      </c>
      <c r="D1301" t="s">
        <v>1985</v>
      </c>
      <c r="E1301" t="s">
        <v>2113</v>
      </c>
      <c r="F1301" t="s">
        <v>2117</v>
      </c>
      <c r="G1301" t="s">
        <v>2121</v>
      </c>
      <c r="H1301" t="s">
        <v>2132</v>
      </c>
      <c r="I1301" t="s">
        <v>2142</v>
      </c>
      <c r="J1301" t="s">
        <v>2145</v>
      </c>
      <c r="K1301" t="s">
        <v>2153</v>
      </c>
      <c r="L1301" s="3">
        <v>2</v>
      </c>
      <c r="M1301" s="2">
        <v>12050.93</v>
      </c>
      <c r="N1301" s="5">
        <v>0.05</v>
      </c>
      <c r="O1301" s="2">
        <v>22896.77</v>
      </c>
      <c r="P1301" s="2">
        <v>6086.72</v>
      </c>
      <c r="Q1301" t="s">
        <v>2168</v>
      </c>
    </row>
    <row r="1302" spans="1:17">
      <c r="A1302" t="s">
        <v>1317</v>
      </c>
      <c r="B1302" s="1">
        <v>45976</v>
      </c>
      <c r="C1302" t="s">
        <v>1600</v>
      </c>
      <c r="D1302" t="s">
        <v>1898</v>
      </c>
      <c r="E1302" t="s">
        <v>2114</v>
      </c>
      <c r="F1302" t="s">
        <v>2117</v>
      </c>
      <c r="G1302" t="s">
        <v>2125</v>
      </c>
      <c r="H1302" t="s">
        <v>2136</v>
      </c>
      <c r="I1302" t="s">
        <v>2142</v>
      </c>
      <c r="J1302" t="s">
        <v>2147</v>
      </c>
      <c r="K1302" t="s">
        <v>2157</v>
      </c>
      <c r="L1302" s="3">
        <v>1</v>
      </c>
      <c r="M1302" s="2">
        <v>15095.66</v>
      </c>
      <c r="N1302" s="5">
        <v>0.05</v>
      </c>
      <c r="O1302" s="2">
        <v>14340.88</v>
      </c>
      <c r="P1302" s="2">
        <v>2773.71</v>
      </c>
      <c r="Q1302" t="s">
        <v>2170</v>
      </c>
    </row>
    <row r="1303" spans="1:17">
      <c r="A1303" t="s">
        <v>1318</v>
      </c>
      <c r="B1303" s="1">
        <v>45977</v>
      </c>
      <c r="C1303" t="s">
        <v>1802</v>
      </c>
      <c r="D1303" t="s">
        <v>2100</v>
      </c>
      <c r="E1303" t="s">
        <v>2113</v>
      </c>
      <c r="F1303" t="s">
        <v>2117</v>
      </c>
      <c r="G1303" t="s">
        <v>2125</v>
      </c>
      <c r="H1303" t="s">
        <v>2136</v>
      </c>
      <c r="I1303" t="s">
        <v>2144</v>
      </c>
      <c r="J1303" t="s">
        <v>2152</v>
      </c>
      <c r="K1303" t="s">
        <v>2162</v>
      </c>
      <c r="L1303" s="3">
        <v>4</v>
      </c>
      <c r="M1303" s="2">
        <v>337.93</v>
      </c>
      <c r="N1303" s="5">
        <v>0</v>
      </c>
      <c r="O1303" s="2">
        <v>1351.72</v>
      </c>
      <c r="P1303" s="2">
        <v>416.13</v>
      </c>
      <c r="Q1303" t="s">
        <v>2170</v>
      </c>
    </row>
    <row r="1304" spans="1:17">
      <c r="A1304" t="s">
        <v>1319</v>
      </c>
      <c r="B1304" s="1">
        <v>45977</v>
      </c>
      <c r="C1304" t="s">
        <v>1768</v>
      </c>
      <c r="D1304" t="s">
        <v>2066</v>
      </c>
      <c r="E1304" t="s">
        <v>2115</v>
      </c>
      <c r="F1304" t="s">
        <v>2116</v>
      </c>
      <c r="G1304" t="s">
        <v>2120</v>
      </c>
      <c r="H1304" t="s">
        <v>2131</v>
      </c>
      <c r="I1304" t="s">
        <v>2143</v>
      </c>
      <c r="J1304" t="s">
        <v>2148</v>
      </c>
      <c r="K1304" t="s">
        <v>2161</v>
      </c>
      <c r="L1304" s="3">
        <v>2</v>
      </c>
      <c r="M1304" s="2">
        <v>1856.18</v>
      </c>
      <c r="N1304" s="5">
        <v>0</v>
      </c>
      <c r="O1304" s="2">
        <v>3712.36</v>
      </c>
      <c r="P1304" s="2">
        <v>414.31</v>
      </c>
      <c r="Q1304" t="s">
        <v>2170</v>
      </c>
    </row>
    <row r="1305" spans="1:17">
      <c r="A1305" t="s">
        <v>1320</v>
      </c>
      <c r="B1305" s="1">
        <v>45977</v>
      </c>
      <c r="C1305" t="s">
        <v>1715</v>
      </c>
      <c r="D1305" t="s">
        <v>2013</v>
      </c>
      <c r="E1305" t="s">
        <v>2115</v>
      </c>
      <c r="F1305" t="s">
        <v>2118</v>
      </c>
      <c r="G1305" t="s">
        <v>2128</v>
      </c>
      <c r="H1305" t="s">
        <v>2128</v>
      </c>
      <c r="I1305" t="s">
        <v>2143</v>
      </c>
      <c r="J1305" t="s">
        <v>2148</v>
      </c>
      <c r="K1305" t="s">
        <v>2156</v>
      </c>
      <c r="L1305" s="3">
        <v>2</v>
      </c>
      <c r="M1305" s="2">
        <v>1155.1600000000001</v>
      </c>
      <c r="N1305" s="5">
        <v>0.05</v>
      </c>
      <c r="O1305" s="2">
        <v>2194.8000000000002</v>
      </c>
      <c r="P1305" s="2">
        <v>298.93</v>
      </c>
      <c r="Q1305" t="s">
        <v>2170</v>
      </c>
    </row>
    <row r="1306" spans="1:17">
      <c r="A1306" t="s">
        <v>1321</v>
      </c>
      <c r="B1306" s="1">
        <v>45977</v>
      </c>
      <c r="C1306" t="s">
        <v>1753</v>
      </c>
      <c r="D1306" t="s">
        <v>2051</v>
      </c>
      <c r="E1306" t="s">
        <v>2113</v>
      </c>
      <c r="F1306" t="s">
        <v>2118</v>
      </c>
      <c r="G1306" t="s">
        <v>2128</v>
      </c>
      <c r="H1306" t="s">
        <v>2128</v>
      </c>
      <c r="I1306" t="s">
        <v>2142</v>
      </c>
      <c r="J1306" t="s">
        <v>2145</v>
      </c>
      <c r="K1306" t="s">
        <v>2165</v>
      </c>
      <c r="L1306" s="3">
        <v>3</v>
      </c>
      <c r="M1306" s="2">
        <v>6741.03</v>
      </c>
      <c r="N1306" s="5">
        <v>0.1</v>
      </c>
      <c r="O1306" s="2">
        <v>18200.78</v>
      </c>
      <c r="P1306" s="2">
        <v>4272.51</v>
      </c>
      <c r="Q1306" t="s">
        <v>2169</v>
      </c>
    </row>
    <row r="1307" spans="1:17">
      <c r="A1307" t="s">
        <v>1322</v>
      </c>
      <c r="B1307" s="1">
        <v>45977</v>
      </c>
      <c r="C1307" t="s">
        <v>1765</v>
      </c>
      <c r="D1307" t="s">
        <v>2063</v>
      </c>
      <c r="E1307" t="s">
        <v>2114</v>
      </c>
      <c r="F1307" t="s">
        <v>2117</v>
      </c>
      <c r="G1307" t="s">
        <v>2123</v>
      </c>
      <c r="H1307" t="s">
        <v>2134</v>
      </c>
      <c r="I1307" t="s">
        <v>2144</v>
      </c>
      <c r="J1307" t="s">
        <v>2147</v>
      </c>
      <c r="K1307" t="s">
        <v>2155</v>
      </c>
      <c r="L1307" s="3">
        <v>5</v>
      </c>
      <c r="M1307" s="2">
        <v>758.55</v>
      </c>
      <c r="N1307" s="5">
        <v>0</v>
      </c>
      <c r="O1307" s="2">
        <v>3792.75</v>
      </c>
      <c r="P1307" s="2">
        <v>1036.5</v>
      </c>
      <c r="Q1307" t="s">
        <v>2168</v>
      </c>
    </row>
    <row r="1308" spans="1:17">
      <c r="A1308" t="s">
        <v>1323</v>
      </c>
      <c r="B1308" s="1">
        <v>45977</v>
      </c>
      <c r="C1308" t="s">
        <v>1766</v>
      </c>
      <c r="D1308" t="s">
        <v>2064</v>
      </c>
      <c r="E1308" t="s">
        <v>2113</v>
      </c>
      <c r="F1308" t="s">
        <v>2118</v>
      </c>
      <c r="G1308" t="s">
        <v>2126</v>
      </c>
      <c r="H1308" t="s">
        <v>2137</v>
      </c>
      <c r="I1308" t="s">
        <v>2143</v>
      </c>
      <c r="J1308" t="s">
        <v>2146</v>
      </c>
      <c r="K1308" t="s">
        <v>2154</v>
      </c>
      <c r="L1308" s="3">
        <v>2</v>
      </c>
      <c r="M1308" s="2">
        <v>42363.35</v>
      </c>
      <c r="N1308" s="5">
        <v>0.2</v>
      </c>
      <c r="O1308" s="2">
        <v>67781.36</v>
      </c>
      <c r="P1308" s="2">
        <v>6485.73</v>
      </c>
      <c r="Q1308" t="s">
        <v>2169</v>
      </c>
    </row>
    <row r="1309" spans="1:17">
      <c r="A1309" t="s">
        <v>1324</v>
      </c>
      <c r="B1309" s="1">
        <v>45977</v>
      </c>
      <c r="C1309" t="s">
        <v>1547</v>
      </c>
      <c r="D1309" t="s">
        <v>1845</v>
      </c>
      <c r="E1309" t="s">
        <v>2114</v>
      </c>
      <c r="F1309" t="s">
        <v>2118</v>
      </c>
      <c r="G1309" t="s">
        <v>2126</v>
      </c>
      <c r="H1309" t="s">
        <v>2137</v>
      </c>
      <c r="I1309" t="s">
        <v>2142</v>
      </c>
      <c r="J1309" t="s">
        <v>2151</v>
      </c>
      <c r="K1309" t="s">
        <v>2160</v>
      </c>
      <c r="L1309" s="3">
        <v>4</v>
      </c>
      <c r="M1309" s="2">
        <v>8755.86</v>
      </c>
      <c r="N1309" s="5">
        <v>0.1</v>
      </c>
      <c r="O1309" s="2">
        <v>31521.1</v>
      </c>
      <c r="P1309" s="2">
        <v>5303.38</v>
      </c>
      <c r="Q1309" t="s">
        <v>2169</v>
      </c>
    </row>
    <row r="1310" spans="1:17">
      <c r="A1310" t="s">
        <v>1325</v>
      </c>
      <c r="B1310" s="1">
        <v>45977</v>
      </c>
      <c r="C1310" t="s">
        <v>1651</v>
      </c>
      <c r="D1310" t="s">
        <v>1949</v>
      </c>
      <c r="E1310" t="s">
        <v>2113</v>
      </c>
      <c r="F1310" t="s">
        <v>2117</v>
      </c>
      <c r="G1310" t="s">
        <v>2125</v>
      </c>
      <c r="H1310" t="s">
        <v>2136</v>
      </c>
      <c r="I1310" t="s">
        <v>2143</v>
      </c>
      <c r="J1310" t="s">
        <v>2149</v>
      </c>
      <c r="K1310" t="s">
        <v>2163</v>
      </c>
      <c r="L1310" s="3">
        <v>2</v>
      </c>
      <c r="M1310" s="2">
        <v>65541.23</v>
      </c>
      <c r="N1310" s="5">
        <v>0.15</v>
      </c>
      <c r="O1310" s="2">
        <v>111420.09</v>
      </c>
      <c r="P1310" s="2">
        <v>13104.3</v>
      </c>
      <c r="Q1310" t="s">
        <v>2167</v>
      </c>
    </row>
    <row r="1311" spans="1:17">
      <c r="A1311" t="s">
        <v>1326</v>
      </c>
      <c r="B1311" s="1">
        <v>45978</v>
      </c>
      <c r="C1311" t="s">
        <v>1560</v>
      </c>
      <c r="D1311" t="s">
        <v>1858</v>
      </c>
      <c r="E1311" t="s">
        <v>2114</v>
      </c>
      <c r="F1311" t="s">
        <v>2116</v>
      </c>
      <c r="G1311" t="s">
        <v>2127</v>
      </c>
      <c r="H1311" t="s">
        <v>2140</v>
      </c>
      <c r="I1311" t="s">
        <v>2143</v>
      </c>
      <c r="J1311" t="s">
        <v>2148</v>
      </c>
      <c r="K1311" t="s">
        <v>2156</v>
      </c>
      <c r="L1311" s="3">
        <v>5</v>
      </c>
      <c r="M1311" s="2">
        <v>1230.6099999999999</v>
      </c>
      <c r="N1311" s="5">
        <v>0.05</v>
      </c>
      <c r="O1311" s="2">
        <v>5845.4</v>
      </c>
      <c r="P1311" s="2">
        <v>1033.43</v>
      </c>
      <c r="Q1311" t="s">
        <v>2169</v>
      </c>
    </row>
    <row r="1312" spans="1:17">
      <c r="A1312" t="s">
        <v>1327</v>
      </c>
      <c r="B1312" s="1">
        <v>45978</v>
      </c>
      <c r="C1312" t="s">
        <v>1591</v>
      </c>
      <c r="D1312" t="s">
        <v>1889</v>
      </c>
      <c r="E1312" t="s">
        <v>2113</v>
      </c>
      <c r="F1312" t="s">
        <v>2118</v>
      </c>
      <c r="G1312" t="s">
        <v>2128</v>
      </c>
      <c r="H1312" t="s">
        <v>2128</v>
      </c>
      <c r="I1312" t="s">
        <v>2143</v>
      </c>
      <c r="J1312" t="s">
        <v>2146</v>
      </c>
      <c r="K1312" t="s">
        <v>2164</v>
      </c>
      <c r="L1312" s="3">
        <v>1</v>
      </c>
      <c r="M1312" s="2">
        <v>18744.2</v>
      </c>
      <c r="N1312" s="5">
        <v>0.05</v>
      </c>
      <c r="O1312" s="2">
        <v>17806.990000000002</v>
      </c>
      <c r="P1312" s="2">
        <v>2189.17</v>
      </c>
      <c r="Q1312" t="s">
        <v>2170</v>
      </c>
    </row>
    <row r="1313" spans="1:17">
      <c r="A1313" t="s">
        <v>1328</v>
      </c>
      <c r="B1313" s="1">
        <v>45978</v>
      </c>
      <c r="C1313" t="s">
        <v>1628</v>
      </c>
      <c r="D1313" t="s">
        <v>1926</v>
      </c>
      <c r="E1313" t="s">
        <v>2114</v>
      </c>
      <c r="F1313" t="s">
        <v>2116</v>
      </c>
      <c r="G1313" t="s">
        <v>2127</v>
      </c>
      <c r="H1313" t="s">
        <v>2140</v>
      </c>
      <c r="I1313" t="s">
        <v>2143</v>
      </c>
      <c r="J1313" t="s">
        <v>2146</v>
      </c>
      <c r="K1313" t="s">
        <v>2164</v>
      </c>
      <c r="L1313" s="3">
        <v>1</v>
      </c>
      <c r="M1313" s="2">
        <v>17116.400000000001</v>
      </c>
      <c r="N1313" s="5">
        <v>0.1</v>
      </c>
      <c r="O1313" s="2">
        <v>15404.76</v>
      </c>
      <c r="P1313" s="2">
        <v>2501.4</v>
      </c>
      <c r="Q1313" t="s">
        <v>2168</v>
      </c>
    </row>
    <row r="1314" spans="1:17">
      <c r="A1314" t="s">
        <v>1329</v>
      </c>
      <c r="B1314" s="1">
        <v>45979</v>
      </c>
      <c r="C1314" t="s">
        <v>1729</v>
      </c>
      <c r="D1314" t="s">
        <v>2027</v>
      </c>
      <c r="E1314" t="s">
        <v>2115</v>
      </c>
      <c r="F1314" t="s">
        <v>2118</v>
      </c>
      <c r="G1314" t="s">
        <v>2122</v>
      </c>
      <c r="H1314" t="s">
        <v>2133</v>
      </c>
      <c r="I1314" t="s">
        <v>2143</v>
      </c>
      <c r="J1314" t="s">
        <v>2148</v>
      </c>
      <c r="K1314" t="s">
        <v>2161</v>
      </c>
      <c r="L1314" s="3">
        <v>1</v>
      </c>
      <c r="M1314" s="2">
        <v>1874.65</v>
      </c>
      <c r="N1314" s="5">
        <v>0.2</v>
      </c>
      <c r="O1314" s="2">
        <v>1499.72</v>
      </c>
      <c r="P1314" s="2">
        <v>58.64</v>
      </c>
      <c r="Q1314" t="s">
        <v>2169</v>
      </c>
    </row>
    <row r="1315" spans="1:17">
      <c r="A1315" t="s">
        <v>1330</v>
      </c>
      <c r="B1315" s="1">
        <v>45979</v>
      </c>
      <c r="C1315" t="s">
        <v>1588</v>
      </c>
      <c r="D1315" t="s">
        <v>1886</v>
      </c>
      <c r="E1315" t="s">
        <v>2115</v>
      </c>
      <c r="F1315" t="s">
        <v>2118</v>
      </c>
      <c r="G1315" t="s">
        <v>2128</v>
      </c>
      <c r="H1315" t="s">
        <v>2128</v>
      </c>
      <c r="I1315" t="s">
        <v>2144</v>
      </c>
      <c r="J1315" t="s">
        <v>2147</v>
      </c>
      <c r="K1315" t="s">
        <v>2155</v>
      </c>
      <c r="L1315" s="3">
        <v>2</v>
      </c>
      <c r="M1315" s="2">
        <v>787.09</v>
      </c>
      <c r="N1315" s="5">
        <v>0</v>
      </c>
      <c r="O1315" s="2">
        <v>1574.18</v>
      </c>
      <c r="P1315" s="2">
        <v>537.29</v>
      </c>
      <c r="Q1315" t="s">
        <v>2168</v>
      </c>
    </row>
    <row r="1316" spans="1:17">
      <c r="A1316" t="s">
        <v>1331</v>
      </c>
      <c r="B1316" s="1">
        <v>45979</v>
      </c>
      <c r="C1316" t="s">
        <v>1530</v>
      </c>
      <c r="D1316" t="s">
        <v>1828</v>
      </c>
      <c r="E1316" t="s">
        <v>2114</v>
      </c>
      <c r="F1316" t="s">
        <v>2119</v>
      </c>
      <c r="G1316" t="s">
        <v>2129</v>
      </c>
      <c r="H1316" t="s">
        <v>2139</v>
      </c>
      <c r="I1316" t="s">
        <v>2144</v>
      </c>
      <c r="J1316" t="s">
        <v>2152</v>
      </c>
      <c r="K1316" t="s">
        <v>2162</v>
      </c>
      <c r="L1316" s="3">
        <v>2</v>
      </c>
      <c r="M1316" s="2">
        <v>340.99</v>
      </c>
      <c r="N1316" s="5">
        <v>0.15</v>
      </c>
      <c r="O1316" s="2">
        <v>579.67999999999995</v>
      </c>
      <c r="P1316" s="2">
        <v>81.92</v>
      </c>
      <c r="Q1316" t="s">
        <v>2170</v>
      </c>
    </row>
    <row r="1317" spans="1:17">
      <c r="A1317" t="s">
        <v>1332</v>
      </c>
      <c r="B1317" s="1">
        <v>45980</v>
      </c>
      <c r="C1317" t="s">
        <v>1653</v>
      </c>
      <c r="D1317" t="s">
        <v>1951</v>
      </c>
      <c r="E1317" t="s">
        <v>2113</v>
      </c>
      <c r="F1317" t="s">
        <v>2116</v>
      </c>
      <c r="G1317" t="s">
        <v>2127</v>
      </c>
      <c r="H1317" t="s">
        <v>2140</v>
      </c>
      <c r="I1317" t="s">
        <v>2142</v>
      </c>
      <c r="J1317" t="s">
        <v>2145</v>
      </c>
      <c r="K1317" t="s">
        <v>2153</v>
      </c>
      <c r="L1317" s="3">
        <v>5</v>
      </c>
      <c r="M1317" s="2">
        <v>11766.84</v>
      </c>
      <c r="N1317" s="5">
        <v>0</v>
      </c>
      <c r="O1317" s="2">
        <v>58834.2</v>
      </c>
      <c r="P1317" s="2">
        <v>8857.24</v>
      </c>
      <c r="Q1317" t="s">
        <v>2170</v>
      </c>
    </row>
    <row r="1318" spans="1:17">
      <c r="A1318" t="s">
        <v>1333</v>
      </c>
      <c r="B1318" s="1">
        <v>45980</v>
      </c>
      <c r="C1318" t="s">
        <v>1672</v>
      </c>
      <c r="D1318" t="s">
        <v>1970</v>
      </c>
      <c r="E1318" t="s">
        <v>2115</v>
      </c>
      <c r="F1318" t="s">
        <v>2118</v>
      </c>
      <c r="G1318" t="s">
        <v>2122</v>
      </c>
      <c r="H1318" t="s">
        <v>2133</v>
      </c>
      <c r="I1318" t="s">
        <v>2143</v>
      </c>
      <c r="J1318" t="s">
        <v>2148</v>
      </c>
      <c r="K1318" t="s">
        <v>2161</v>
      </c>
      <c r="L1318" s="3">
        <v>1</v>
      </c>
      <c r="M1318" s="2">
        <v>1847.27</v>
      </c>
      <c r="N1318" s="5">
        <v>0.1</v>
      </c>
      <c r="O1318" s="2">
        <v>1662.54</v>
      </c>
      <c r="P1318" s="2">
        <v>331.4</v>
      </c>
      <c r="Q1318" t="s">
        <v>2169</v>
      </c>
    </row>
    <row r="1319" spans="1:17">
      <c r="A1319" t="s">
        <v>1334</v>
      </c>
      <c r="B1319" s="1">
        <v>45980</v>
      </c>
      <c r="C1319" t="s">
        <v>1650</v>
      </c>
      <c r="D1319" t="s">
        <v>1948</v>
      </c>
      <c r="E1319" t="s">
        <v>2114</v>
      </c>
      <c r="F1319" t="s">
        <v>2117</v>
      </c>
      <c r="G1319" t="s">
        <v>2121</v>
      </c>
      <c r="H1319" t="s">
        <v>2132</v>
      </c>
      <c r="I1319" t="s">
        <v>2143</v>
      </c>
      <c r="J1319" t="s">
        <v>2148</v>
      </c>
      <c r="K1319" t="s">
        <v>2156</v>
      </c>
      <c r="L1319" s="3">
        <v>2</v>
      </c>
      <c r="M1319" s="2">
        <v>1183.3</v>
      </c>
      <c r="N1319" s="5">
        <v>0.2</v>
      </c>
      <c r="O1319" s="2">
        <v>1893.28</v>
      </c>
      <c r="P1319" s="2">
        <v>161.80000000000001</v>
      </c>
      <c r="Q1319" t="s">
        <v>2167</v>
      </c>
    </row>
    <row r="1320" spans="1:17">
      <c r="A1320" t="s">
        <v>1335</v>
      </c>
      <c r="B1320" s="1">
        <v>45980</v>
      </c>
      <c r="C1320" t="s">
        <v>1761</v>
      </c>
      <c r="D1320" t="s">
        <v>2059</v>
      </c>
      <c r="E1320" t="s">
        <v>2113</v>
      </c>
      <c r="F1320" t="s">
        <v>2119</v>
      </c>
      <c r="G1320" t="s">
        <v>2130</v>
      </c>
      <c r="H1320" t="s">
        <v>2141</v>
      </c>
      <c r="I1320" t="s">
        <v>2142</v>
      </c>
      <c r="J1320" t="s">
        <v>2145</v>
      </c>
      <c r="K1320" t="s">
        <v>2165</v>
      </c>
      <c r="L1320" s="3">
        <v>1</v>
      </c>
      <c r="M1320" s="2">
        <v>6431.21</v>
      </c>
      <c r="N1320" s="5">
        <v>0</v>
      </c>
      <c r="O1320" s="2">
        <v>6431.21</v>
      </c>
      <c r="P1320" s="2">
        <v>946.78</v>
      </c>
      <c r="Q1320" t="s">
        <v>2170</v>
      </c>
    </row>
    <row r="1321" spans="1:17">
      <c r="A1321" t="s">
        <v>1336</v>
      </c>
      <c r="B1321" s="1">
        <v>45980</v>
      </c>
      <c r="C1321" t="s">
        <v>1668</v>
      </c>
      <c r="D1321" t="s">
        <v>1966</v>
      </c>
      <c r="E1321" t="s">
        <v>2114</v>
      </c>
      <c r="F1321" t="s">
        <v>2116</v>
      </c>
      <c r="G1321" t="s">
        <v>2120</v>
      </c>
      <c r="H1321" t="s">
        <v>2131</v>
      </c>
      <c r="I1321" t="s">
        <v>2143</v>
      </c>
      <c r="J1321" t="s">
        <v>2146</v>
      </c>
      <c r="K1321" t="s">
        <v>2154</v>
      </c>
      <c r="L1321" s="3">
        <v>2</v>
      </c>
      <c r="M1321" s="2">
        <v>42336.36</v>
      </c>
      <c r="N1321" s="5">
        <v>0.1</v>
      </c>
      <c r="O1321" s="2">
        <v>76205.45</v>
      </c>
      <c r="P1321" s="2">
        <v>4638.75</v>
      </c>
      <c r="Q1321" t="s">
        <v>2168</v>
      </c>
    </row>
    <row r="1322" spans="1:17">
      <c r="A1322" t="s">
        <v>1337</v>
      </c>
      <c r="B1322" s="1">
        <v>45981</v>
      </c>
      <c r="C1322" t="s">
        <v>1712</v>
      </c>
      <c r="D1322" t="s">
        <v>2010</v>
      </c>
      <c r="E1322" t="s">
        <v>2114</v>
      </c>
      <c r="F1322" t="s">
        <v>2117</v>
      </c>
      <c r="G1322" t="s">
        <v>2123</v>
      </c>
      <c r="H1322" t="s">
        <v>2134</v>
      </c>
      <c r="I1322" t="s">
        <v>2143</v>
      </c>
      <c r="J1322" t="s">
        <v>2148</v>
      </c>
      <c r="K1322" t="s">
        <v>2161</v>
      </c>
      <c r="L1322" s="3">
        <v>3</v>
      </c>
      <c r="M1322" s="2">
        <v>1732.63</v>
      </c>
      <c r="N1322" s="5">
        <v>0.05</v>
      </c>
      <c r="O1322" s="2">
        <v>4938</v>
      </c>
      <c r="P1322" s="2">
        <v>652.62</v>
      </c>
      <c r="Q1322" t="s">
        <v>2168</v>
      </c>
    </row>
    <row r="1323" spans="1:17">
      <c r="A1323" t="s">
        <v>1338</v>
      </c>
      <c r="B1323" s="1">
        <v>45981</v>
      </c>
      <c r="C1323" t="s">
        <v>1755</v>
      </c>
      <c r="D1323" t="s">
        <v>2053</v>
      </c>
      <c r="E1323" t="s">
        <v>2114</v>
      </c>
      <c r="F1323" t="s">
        <v>2117</v>
      </c>
      <c r="G1323" t="s">
        <v>2125</v>
      </c>
      <c r="H1323" t="s">
        <v>2136</v>
      </c>
      <c r="I1323" t="s">
        <v>2143</v>
      </c>
      <c r="J1323" t="s">
        <v>2149</v>
      </c>
      <c r="K1323" t="s">
        <v>2158</v>
      </c>
      <c r="L1323" s="3">
        <v>1</v>
      </c>
      <c r="M1323" s="2">
        <v>48450.25</v>
      </c>
      <c r="N1323" s="5">
        <v>0.05</v>
      </c>
      <c r="O1323" s="2">
        <v>46027.74</v>
      </c>
      <c r="P1323" s="2">
        <v>3297.56</v>
      </c>
      <c r="Q1323" t="s">
        <v>2169</v>
      </c>
    </row>
    <row r="1324" spans="1:17">
      <c r="A1324" t="s">
        <v>1339</v>
      </c>
      <c r="B1324" s="1">
        <v>45981</v>
      </c>
      <c r="C1324" t="s">
        <v>1527</v>
      </c>
      <c r="D1324" t="s">
        <v>1825</v>
      </c>
      <c r="E1324" t="s">
        <v>2113</v>
      </c>
      <c r="F1324" t="s">
        <v>2116</v>
      </c>
      <c r="G1324" t="s">
        <v>2127</v>
      </c>
      <c r="H1324" t="s">
        <v>2138</v>
      </c>
      <c r="I1324" t="s">
        <v>2143</v>
      </c>
      <c r="J1324" t="s">
        <v>2149</v>
      </c>
      <c r="K1324" t="s">
        <v>2158</v>
      </c>
      <c r="L1324" s="3">
        <v>1</v>
      </c>
      <c r="M1324" s="2">
        <v>47944.2</v>
      </c>
      <c r="N1324" s="5">
        <v>0</v>
      </c>
      <c r="O1324" s="2">
        <v>47944.2</v>
      </c>
      <c r="P1324" s="2">
        <v>8786.2199999999993</v>
      </c>
      <c r="Q1324" t="s">
        <v>2168</v>
      </c>
    </row>
    <row r="1325" spans="1:17">
      <c r="A1325" t="s">
        <v>1340</v>
      </c>
      <c r="B1325" s="1">
        <v>45981</v>
      </c>
      <c r="C1325" t="s">
        <v>1686</v>
      </c>
      <c r="D1325" t="s">
        <v>1984</v>
      </c>
      <c r="E1325" t="s">
        <v>2115</v>
      </c>
      <c r="F1325" t="s">
        <v>2117</v>
      </c>
      <c r="G1325" t="s">
        <v>2125</v>
      </c>
      <c r="H1325" t="s">
        <v>2136</v>
      </c>
      <c r="I1325" t="s">
        <v>2143</v>
      </c>
      <c r="J1325" t="s">
        <v>2148</v>
      </c>
      <c r="K1325" t="s">
        <v>2156</v>
      </c>
      <c r="L1325" s="3">
        <v>1</v>
      </c>
      <c r="M1325" s="2">
        <v>1198.73</v>
      </c>
      <c r="N1325" s="5">
        <v>0</v>
      </c>
      <c r="O1325" s="2">
        <v>1198.73</v>
      </c>
      <c r="P1325" s="2">
        <v>261.31</v>
      </c>
      <c r="Q1325" t="s">
        <v>2168</v>
      </c>
    </row>
    <row r="1326" spans="1:17">
      <c r="A1326" t="s">
        <v>1341</v>
      </c>
      <c r="B1326" s="1">
        <v>45981</v>
      </c>
      <c r="C1326" t="s">
        <v>1763</v>
      </c>
      <c r="D1326" t="s">
        <v>2061</v>
      </c>
      <c r="E1326" t="s">
        <v>2115</v>
      </c>
      <c r="F1326" t="s">
        <v>2116</v>
      </c>
      <c r="G1326" t="s">
        <v>2127</v>
      </c>
      <c r="H1326" t="s">
        <v>2138</v>
      </c>
      <c r="I1326" t="s">
        <v>2142</v>
      </c>
      <c r="J1326" t="s">
        <v>2147</v>
      </c>
      <c r="K1326" t="s">
        <v>2157</v>
      </c>
      <c r="L1326" s="3">
        <v>2</v>
      </c>
      <c r="M1326" s="2">
        <v>14200.7</v>
      </c>
      <c r="N1326" s="5">
        <v>0.15</v>
      </c>
      <c r="O1326" s="2">
        <v>24141.19</v>
      </c>
      <c r="P1326" s="2">
        <v>5245.82</v>
      </c>
      <c r="Q1326" t="s">
        <v>2170</v>
      </c>
    </row>
    <row r="1327" spans="1:17">
      <c r="A1327" t="s">
        <v>1342</v>
      </c>
      <c r="B1327" s="1">
        <v>45982</v>
      </c>
      <c r="C1327" t="s">
        <v>1708</v>
      </c>
      <c r="D1327" t="s">
        <v>2006</v>
      </c>
      <c r="E1327" t="s">
        <v>2114</v>
      </c>
      <c r="F1327" t="s">
        <v>2117</v>
      </c>
      <c r="G1327" t="s">
        <v>2125</v>
      </c>
      <c r="H1327" t="s">
        <v>2136</v>
      </c>
      <c r="I1327" t="s">
        <v>2144</v>
      </c>
      <c r="J1327" t="s">
        <v>2147</v>
      </c>
      <c r="K1327" t="s">
        <v>2155</v>
      </c>
      <c r="L1327" s="3">
        <v>1</v>
      </c>
      <c r="M1327" s="2">
        <v>771.79</v>
      </c>
      <c r="N1327" s="5">
        <v>0.2</v>
      </c>
      <c r="O1327" s="2">
        <v>617.42999999999995</v>
      </c>
      <c r="P1327" s="2">
        <v>138.11000000000001</v>
      </c>
      <c r="Q1327" t="s">
        <v>2170</v>
      </c>
    </row>
    <row r="1328" spans="1:17">
      <c r="A1328" t="s">
        <v>1343</v>
      </c>
      <c r="B1328" s="1">
        <v>45982</v>
      </c>
      <c r="C1328" t="s">
        <v>1663</v>
      </c>
      <c r="D1328" t="s">
        <v>1961</v>
      </c>
      <c r="E1328" t="s">
        <v>2114</v>
      </c>
      <c r="F1328" t="s">
        <v>2118</v>
      </c>
      <c r="G1328" t="s">
        <v>2126</v>
      </c>
      <c r="H1328" t="s">
        <v>2137</v>
      </c>
      <c r="I1328" t="s">
        <v>2142</v>
      </c>
      <c r="J1328" t="s">
        <v>2151</v>
      </c>
      <c r="K1328" t="s">
        <v>2160</v>
      </c>
      <c r="L1328" s="3">
        <v>2</v>
      </c>
      <c r="M1328" s="2">
        <v>8520.57</v>
      </c>
      <c r="N1328" s="5">
        <v>0.05</v>
      </c>
      <c r="O1328" s="2">
        <v>16189.08</v>
      </c>
      <c r="P1328" s="2">
        <v>3535.22</v>
      </c>
      <c r="Q1328" t="s">
        <v>2168</v>
      </c>
    </row>
    <row r="1329" spans="1:17">
      <c r="A1329" t="s">
        <v>1344</v>
      </c>
      <c r="B1329" s="1">
        <v>45982</v>
      </c>
      <c r="C1329" t="s">
        <v>1725</v>
      </c>
      <c r="D1329" t="s">
        <v>2023</v>
      </c>
      <c r="E1329" t="s">
        <v>2114</v>
      </c>
      <c r="F1329" t="s">
        <v>2116</v>
      </c>
      <c r="G1329" t="s">
        <v>2127</v>
      </c>
      <c r="H1329" t="s">
        <v>2140</v>
      </c>
      <c r="I1329" t="s">
        <v>2143</v>
      </c>
      <c r="J1329" t="s">
        <v>2148</v>
      </c>
      <c r="K1329" t="s">
        <v>2161</v>
      </c>
      <c r="L1329" s="3">
        <v>4</v>
      </c>
      <c r="M1329" s="2">
        <v>1770.75</v>
      </c>
      <c r="N1329" s="5">
        <v>0.15</v>
      </c>
      <c r="O1329" s="2">
        <v>6020.55</v>
      </c>
      <c r="P1329" s="2">
        <v>876.77</v>
      </c>
      <c r="Q1329" t="s">
        <v>2169</v>
      </c>
    </row>
    <row r="1330" spans="1:17">
      <c r="A1330" t="s">
        <v>1345</v>
      </c>
      <c r="B1330" s="1">
        <v>45982</v>
      </c>
      <c r="C1330" t="s">
        <v>1542</v>
      </c>
      <c r="D1330" t="s">
        <v>1840</v>
      </c>
      <c r="E1330" t="s">
        <v>2114</v>
      </c>
      <c r="F1330" t="s">
        <v>2119</v>
      </c>
      <c r="G1330" t="s">
        <v>2124</v>
      </c>
      <c r="H1330" t="s">
        <v>2135</v>
      </c>
      <c r="I1330" t="s">
        <v>2142</v>
      </c>
      <c r="J1330" t="s">
        <v>2145</v>
      </c>
      <c r="K1330" t="s">
        <v>2153</v>
      </c>
      <c r="L1330" s="3">
        <v>2</v>
      </c>
      <c r="M1330" s="2">
        <v>12240.98</v>
      </c>
      <c r="N1330" s="5">
        <v>0</v>
      </c>
      <c r="O1330" s="2">
        <v>24481.96</v>
      </c>
      <c r="P1330" s="2">
        <v>6568.24</v>
      </c>
      <c r="Q1330" t="s">
        <v>2169</v>
      </c>
    </row>
    <row r="1331" spans="1:17">
      <c r="A1331" t="s">
        <v>1346</v>
      </c>
      <c r="B1331" s="1">
        <v>45983</v>
      </c>
      <c r="C1331" t="s">
        <v>1796</v>
      </c>
      <c r="D1331" t="s">
        <v>2094</v>
      </c>
      <c r="E1331" t="s">
        <v>2113</v>
      </c>
      <c r="F1331" t="s">
        <v>2116</v>
      </c>
      <c r="G1331" t="s">
        <v>2127</v>
      </c>
      <c r="H1331" t="s">
        <v>2138</v>
      </c>
      <c r="I1331" t="s">
        <v>2143</v>
      </c>
      <c r="J1331" t="s">
        <v>2146</v>
      </c>
      <c r="K1331" t="s">
        <v>2154</v>
      </c>
      <c r="L1331" s="3">
        <v>3</v>
      </c>
      <c r="M1331" s="2">
        <v>41184.120000000003</v>
      </c>
      <c r="N1331" s="5">
        <v>0.05</v>
      </c>
      <c r="O1331" s="2">
        <v>117374.74</v>
      </c>
      <c r="P1331" s="2">
        <v>14433.83</v>
      </c>
      <c r="Q1331" t="s">
        <v>2170</v>
      </c>
    </row>
    <row r="1332" spans="1:17">
      <c r="A1332" t="s">
        <v>1347</v>
      </c>
      <c r="B1332" s="1">
        <v>45983</v>
      </c>
      <c r="C1332" t="s">
        <v>1798</v>
      </c>
      <c r="D1332" t="s">
        <v>2096</v>
      </c>
      <c r="E1332" t="s">
        <v>2114</v>
      </c>
      <c r="F1332" t="s">
        <v>2117</v>
      </c>
      <c r="G1332" t="s">
        <v>2123</v>
      </c>
      <c r="H1332" t="s">
        <v>2134</v>
      </c>
      <c r="I1332" t="s">
        <v>2143</v>
      </c>
      <c r="J1332" t="s">
        <v>2148</v>
      </c>
      <c r="K1332" t="s">
        <v>2156</v>
      </c>
      <c r="L1332" s="3">
        <v>4</v>
      </c>
      <c r="M1332" s="2">
        <v>1201.78</v>
      </c>
      <c r="N1332" s="5">
        <v>0.05</v>
      </c>
      <c r="O1332" s="2">
        <v>4566.76</v>
      </c>
      <c r="P1332" s="2">
        <v>538.33000000000004</v>
      </c>
      <c r="Q1332" t="s">
        <v>2167</v>
      </c>
    </row>
    <row r="1333" spans="1:17">
      <c r="A1333" t="s">
        <v>1348</v>
      </c>
      <c r="B1333" s="1">
        <v>45984</v>
      </c>
      <c r="C1333" t="s">
        <v>1533</v>
      </c>
      <c r="D1333" t="s">
        <v>1831</v>
      </c>
      <c r="E1333" t="s">
        <v>2114</v>
      </c>
      <c r="F1333" t="s">
        <v>2118</v>
      </c>
      <c r="G1333" t="s">
        <v>2128</v>
      </c>
      <c r="H1333" t="s">
        <v>2128</v>
      </c>
      <c r="I1333" t="s">
        <v>2143</v>
      </c>
      <c r="J1333" t="s">
        <v>2149</v>
      </c>
      <c r="K1333" t="s">
        <v>2158</v>
      </c>
      <c r="L1333" s="3">
        <v>2</v>
      </c>
      <c r="M1333" s="2">
        <v>47658.81</v>
      </c>
      <c r="N1333" s="5">
        <v>0.05</v>
      </c>
      <c r="O1333" s="2">
        <v>90551.74</v>
      </c>
      <c r="P1333" s="2">
        <v>13624.77</v>
      </c>
      <c r="Q1333" t="s">
        <v>2169</v>
      </c>
    </row>
    <row r="1334" spans="1:17">
      <c r="A1334" t="s">
        <v>1349</v>
      </c>
      <c r="B1334" s="1">
        <v>45985</v>
      </c>
      <c r="C1334" t="s">
        <v>1619</v>
      </c>
      <c r="D1334" t="s">
        <v>1917</v>
      </c>
      <c r="E1334" t="s">
        <v>2114</v>
      </c>
      <c r="F1334" t="s">
        <v>2118</v>
      </c>
      <c r="G1334" t="s">
        <v>2126</v>
      </c>
      <c r="H1334" t="s">
        <v>2137</v>
      </c>
      <c r="I1334" t="s">
        <v>2143</v>
      </c>
      <c r="J1334" t="s">
        <v>2149</v>
      </c>
      <c r="K1334" t="s">
        <v>2158</v>
      </c>
      <c r="L1334" s="3">
        <v>3</v>
      </c>
      <c r="M1334" s="2">
        <v>47296.17</v>
      </c>
      <c r="N1334" s="5">
        <v>0.1</v>
      </c>
      <c r="O1334" s="2">
        <v>127699.66</v>
      </c>
      <c r="P1334" s="2">
        <v>22642.33</v>
      </c>
      <c r="Q1334" t="s">
        <v>2168</v>
      </c>
    </row>
    <row r="1335" spans="1:17">
      <c r="A1335" t="s">
        <v>1350</v>
      </c>
      <c r="B1335" s="1">
        <v>45985</v>
      </c>
      <c r="C1335" t="s">
        <v>1625</v>
      </c>
      <c r="D1335" t="s">
        <v>1923</v>
      </c>
      <c r="E1335" t="s">
        <v>2114</v>
      </c>
      <c r="F1335" t="s">
        <v>2119</v>
      </c>
      <c r="G1335" t="s">
        <v>2130</v>
      </c>
      <c r="H1335" t="s">
        <v>2141</v>
      </c>
      <c r="I1335" t="s">
        <v>2142</v>
      </c>
      <c r="J1335" t="s">
        <v>2145</v>
      </c>
      <c r="K1335" t="s">
        <v>2165</v>
      </c>
      <c r="L1335" s="3">
        <v>4</v>
      </c>
      <c r="M1335" s="2">
        <v>6813.24</v>
      </c>
      <c r="N1335" s="5">
        <v>0.15</v>
      </c>
      <c r="O1335" s="2">
        <v>23165.02</v>
      </c>
      <c r="P1335" s="2">
        <v>4544.91</v>
      </c>
      <c r="Q1335" t="s">
        <v>2170</v>
      </c>
    </row>
    <row r="1336" spans="1:17">
      <c r="A1336" t="s">
        <v>1351</v>
      </c>
      <c r="B1336" s="1">
        <v>45985</v>
      </c>
      <c r="C1336" t="s">
        <v>1588</v>
      </c>
      <c r="D1336" t="s">
        <v>1886</v>
      </c>
      <c r="E1336" t="s">
        <v>2114</v>
      </c>
      <c r="F1336" t="s">
        <v>2117</v>
      </c>
      <c r="G1336" t="s">
        <v>2123</v>
      </c>
      <c r="H1336" t="s">
        <v>2134</v>
      </c>
      <c r="I1336" t="s">
        <v>2144</v>
      </c>
      <c r="J1336" t="s">
        <v>2150</v>
      </c>
      <c r="K1336" t="s">
        <v>2159</v>
      </c>
      <c r="L1336" s="3">
        <v>1</v>
      </c>
      <c r="M1336" s="2">
        <v>467.88</v>
      </c>
      <c r="N1336" s="5">
        <v>0.15</v>
      </c>
      <c r="O1336" s="2">
        <v>397.7</v>
      </c>
      <c r="P1336" s="2">
        <v>88.12</v>
      </c>
      <c r="Q1336" t="s">
        <v>2170</v>
      </c>
    </row>
    <row r="1337" spans="1:17">
      <c r="A1337" t="s">
        <v>1352</v>
      </c>
      <c r="B1337" s="1">
        <v>45985</v>
      </c>
      <c r="C1337" t="s">
        <v>1770</v>
      </c>
      <c r="D1337" t="s">
        <v>2068</v>
      </c>
      <c r="E1337" t="s">
        <v>2115</v>
      </c>
      <c r="F1337" t="s">
        <v>2116</v>
      </c>
      <c r="G1337" t="s">
        <v>2127</v>
      </c>
      <c r="H1337" t="s">
        <v>2140</v>
      </c>
      <c r="I1337" t="s">
        <v>2144</v>
      </c>
      <c r="J1337" t="s">
        <v>2150</v>
      </c>
      <c r="K1337" t="s">
        <v>2159</v>
      </c>
      <c r="L1337" s="3">
        <v>2</v>
      </c>
      <c r="M1337" s="2">
        <v>448.01</v>
      </c>
      <c r="N1337" s="5">
        <v>0.2</v>
      </c>
      <c r="O1337" s="2">
        <v>716.82</v>
      </c>
      <c r="P1337" s="2">
        <v>176.63</v>
      </c>
      <c r="Q1337" t="s">
        <v>2167</v>
      </c>
    </row>
    <row r="1338" spans="1:17">
      <c r="A1338" t="s">
        <v>1353</v>
      </c>
      <c r="B1338" s="1">
        <v>45985</v>
      </c>
      <c r="C1338" t="s">
        <v>1530</v>
      </c>
      <c r="D1338" t="s">
        <v>1828</v>
      </c>
      <c r="E1338" t="s">
        <v>2114</v>
      </c>
      <c r="F1338" t="s">
        <v>2118</v>
      </c>
      <c r="G1338" t="s">
        <v>2128</v>
      </c>
      <c r="H1338" t="s">
        <v>2128</v>
      </c>
      <c r="I1338" t="s">
        <v>2143</v>
      </c>
      <c r="J1338" t="s">
        <v>2148</v>
      </c>
      <c r="K1338" t="s">
        <v>2161</v>
      </c>
      <c r="L1338" s="3">
        <v>1</v>
      </c>
      <c r="M1338" s="2">
        <v>1874.65</v>
      </c>
      <c r="N1338" s="5">
        <v>0</v>
      </c>
      <c r="O1338" s="2">
        <v>1874.65</v>
      </c>
      <c r="P1338" s="2">
        <v>279.5</v>
      </c>
      <c r="Q1338" t="s">
        <v>2170</v>
      </c>
    </row>
    <row r="1339" spans="1:17">
      <c r="A1339" t="s">
        <v>1354</v>
      </c>
      <c r="B1339" s="1">
        <v>45985</v>
      </c>
      <c r="C1339" t="s">
        <v>1572</v>
      </c>
      <c r="D1339" t="s">
        <v>1870</v>
      </c>
      <c r="E1339" t="s">
        <v>2113</v>
      </c>
      <c r="F1339" t="s">
        <v>2116</v>
      </c>
      <c r="G1339" t="s">
        <v>2127</v>
      </c>
      <c r="H1339" t="s">
        <v>2140</v>
      </c>
      <c r="I1339" t="s">
        <v>2142</v>
      </c>
      <c r="J1339" t="s">
        <v>2145</v>
      </c>
      <c r="K1339" t="s">
        <v>2165</v>
      </c>
      <c r="L1339" s="3">
        <v>1</v>
      </c>
      <c r="M1339" s="2">
        <v>6423.99</v>
      </c>
      <c r="N1339" s="5">
        <v>0.2</v>
      </c>
      <c r="O1339" s="2">
        <v>5139.1899999999996</v>
      </c>
      <c r="P1339" s="2">
        <v>855.58</v>
      </c>
      <c r="Q1339" t="s">
        <v>2167</v>
      </c>
    </row>
    <row r="1340" spans="1:17">
      <c r="A1340" t="s">
        <v>1355</v>
      </c>
      <c r="B1340" s="1">
        <v>45986</v>
      </c>
      <c r="C1340" t="s">
        <v>1585</v>
      </c>
      <c r="D1340" t="s">
        <v>1883</v>
      </c>
      <c r="E1340" t="s">
        <v>2114</v>
      </c>
      <c r="F1340" t="s">
        <v>2118</v>
      </c>
      <c r="G1340" t="s">
        <v>2126</v>
      </c>
      <c r="H1340" t="s">
        <v>2137</v>
      </c>
      <c r="I1340" t="s">
        <v>2144</v>
      </c>
      <c r="J1340" t="s">
        <v>2152</v>
      </c>
      <c r="K1340" t="s">
        <v>2162</v>
      </c>
      <c r="L1340" s="3">
        <v>5</v>
      </c>
      <c r="M1340" s="2">
        <v>334.52</v>
      </c>
      <c r="N1340" s="5">
        <v>0.05</v>
      </c>
      <c r="O1340" s="2">
        <v>1588.97</v>
      </c>
      <c r="P1340" s="2">
        <v>516.61</v>
      </c>
      <c r="Q1340" t="s">
        <v>2169</v>
      </c>
    </row>
    <row r="1341" spans="1:17">
      <c r="A1341" t="s">
        <v>1356</v>
      </c>
      <c r="B1341" s="1">
        <v>45986</v>
      </c>
      <c r="C1341" t="s">
        <v>1705</v>
      </c>
      <c r="D1341" t="s">
        <v>2003</v>
      </c>
      <c r="E1341" t="s">
        <v>2114</v>
      </c>
      <c r="F1341" t="s">
        <v>2118</v>
      </c>
      <c r="G1341" t="s">
        <v>2126</v>
      </c>
      <c r="H1341" t="s">
        <v>2137</v>
      </c>
      <c r="I1341" t="s">
        <v>2144</v>
      </c>
      <c r="J1341" t="s">
        <v>2152</v>
      </c>
      <c r="K1341" t="s">
        <v>2162</v>
      </c>
      <c r="L1341" s="3">
        <v>2</v>
      </c>
      <c r="M1341" s="2">
        <v>338.55</v>
      </c>
      <c r="N1341" s="5">
        <v>0.05</v>
      </c>
      <c r="O1341" s="2">
        <v>643.25</v>
      </c>
      <c r="P1341" s="2">
        <v>166.2</v>
      </c>
      <c r="Q1341" t="s">
        <v>2168</v>
      </c>
    </row>
    <row r="1342" spans="1:17">
      <c r="A1342" t="s">
        <v>1357</v>
      </c>
      <c r="B1342" s="1">
        <v>45986</v>
      </c>
      <c r="C1342" t="s">
        <v>1696</v>
      </c>
      <c r="D1342" t="s">
        <v>1994</v>
      </c>
      <c r="E1342" t="s">
        <v>2114</v>
      </c>
      <c r="F1342" t="s">
        <v>2117</v>
      </c>
      <c r="G1342" t="s">
        <v>2121</v>
      </c>
      <c r="H1342" t="s">
        <v>2132</v>
      </c>
      <c r="I1342" t="s">
        <v>2143</v>
      </c>
      <c r="J1342" t="s">
        <v>2148</v>
      </c>
      <c r="K1342" t="s">
        <v>2156</v>
      </c>
      <c r="L1342" s="3">
        <v>3</v>
      </c>
      <c r="M1342" s="2">
        <v>1216.98</v>
      </c>
      <c r="N1342" s="5">
        <v>0</v>
      </c>
      <c r="O1342" s="2">
        <v>3650.94</v>
      </c>
      <c r="P1342" s="2">
        <v>424.88</v>
      </c>
      <c r="Q1342" t="s">
        <v>2168</v>
      </c>
    </row>
    <row r="1343" spans="1:17">
      <c r="A1343" t="s">
        <v>1358</v>
      </c>
      <c r="B1343" s="1">
        <v>45987</v>
      </c>
      <c r="C1343" t="s">
        <v>1737</v>
      </c>
      <c r="D1343" t="s">
        <v>2035</v>
      </c>
      <c r="E1343" t="s">
        <v>2115</v>
      </c>
      <c r="F1343" t="s">
        <v>2116</v>
      </c>
      <c r="G1343" t="s">
        <v>2127</v>
      </c>
      <c r="H1343" t="s">
        <v>2140</v>
      </c>
      <c r="I1343" t="s">
        <v>2144</v>
      </c>
      <c r="J1343" t="s">
        <v>2152</v>
      </c>
      <c r="K1343" t="s">
        <v>2166</v>
      </c>
      <c r="L1343" s="3">
        <v>2</v>
      </c>
      <c r="M1343" s="2">
        <v>607.37</v>
      </c>
      <c r="N1343" s="5">
        <v>0.1</v>
      </c>
      <c r="O1343" s="2">
        <v>1093.27</v>
      </c>
      <c r="P1343" s="2">
        <v>163.4</v>
      </c>
      <c r="Q1343" t="s">
        <v>2168</v>
      </c>
    </row>
    <row r="1344" spans="1:17">
      <c r="A1344" t="s">
        <v>1359</v>
      </c>
      <c r="B1344" s="1">
        <v>45987</v>
      </c>
      <c r="C1344" t="s">
        <v>1539</v>
      </c>
      <c r="D1344" t="s">
        <v>1837</v>
      </c>
      <c r="E1344" t="s">
        <v>2113</v>
      </c>
      <c r="F1344" t="s">
        <v>2117</v>
      </c>
      <c r="G1344" t="s">
        <v>2125</v>
      </c>
      <c r="H1344" t="s">
        <v>2136</v>
      </c>
      <c r="I1344" t="s">
        <v>2143</v>
      </c>
      <c r="J1344" t="s">
        <v>2148</v>
      </c>
      <c r="K1344" t="s">
        <v>2156</v>
      </c>
      <c r="L1344" s="3">
        <v>5</v>
      </c>
      <c r="M1344" s="2">
        <v>1217</v>
      </c>
      <c r="N1344" s="5">
        <v>0</v>
      </c>
      <c r="O1344" s="2">
        <v>6085</v>
      </c>
      <c r="P1344" s="2">
        <v>1183.02</v>
      </c>
      <c r="Q1344" t="s">
        <v>2170</v>
      </c>
    </row>
    <row r="1345" spans="1:17">
      <c r="A1345" t="s">
        <v>1360</v>
      </c>
      <c r="B1345" s="1">
        <v>45987</v>
      </c>
      <c r="C1345" t="s">
        <v>1519</v>
      </c>
      <c r="D1345" t="s">
        <v>1817</v>
      </c>
      <c r="E1345" t="s">
        <v>2114</v>
      </c>
      <c r="F1345" t="s">
        <v>2116</v>
      </c>
      <c r="G1345" t="s">
        <v>2120</v>
      </c>
      <c r="H1345" t="s">
        <v>2131</v>
      </c>
      <c r="I1345" t="s">
        <v>2142</v>
      </c>
      <c r="J1345" t="s">
        <v>2145</v>
      </c>
      <c r="K1345" t="s">
        <v>2153</v>
      </c>
      <c r="L1345" s="3">
        <v>3</v>
      </c>
      <c r="M1345" s="2">
        <v>11774.04</v>
      </c>
      <c r="N1345" s="5">
        <v>0.1</v>
      </c>
      <c r="O1345" s="2">
        <v>31789.91</v>
      </c>
      <c r="P1345" s="2">
        <v>4388.67</v>
      </c>
      <c r="Q1345" t="s">
        <v>2170</v>
      </c>
    </row>
    <row r="1346" spans="1:17">
      <c r="A1346" t="s">
        <v>1361</v>
      </c>
      <c r="B1346" s="1">
        <v>45987</v>
      </c>
      <c r="C1346" t="s">
        <v>1713</v>
      </c>
      <c r="D1346" t="s">
        <v>2011</v>
      </c>
      <c r="E1346" t="s">
        <v>2115</v>
      </c>
      <c r="F1346" t="s">
        <v>2118</v>
      </c>
      <c r="G1346" t="s">
        <v>2128</v>
      </c>
      <c r="H1346" t="s">
        <v>2128</v>
      </c>
      <c r="I1346" t="s">
        <v>2144</v>
      </c>
      <c r="J1346" t="s">
        <v>2150</v>
      </c>
      <c r="K1346" t="s">
        <v>2159</v>
      </c>
      <c r="L1346" s="3">
        <v>4</v>
      </c>
      <c r="M1346" s="2">
        <v>455.88</v>
      </c>
      <c r="N1346" s="5">
        <v>0.05</v>
      </c>
      <c r="O1346" s="2">
        <v>1732.34</v>
      </c>
      <c r="P1346" s="2">
        <v>268.17</v>
      </c>
      <c r="Q1346" t="s">
        <v>2170</v>
      </c>
    </row>
    <row r="1347" spans="1:17">
      <c r="A1347" t="s">
        <v>1362</v>
      </c>
      <c r="B1347" s="1">
        <v>45987</v>
      </c>
      <c r="C1347" t="s">
        <v>1573</v>
      </c>
      <c r="D1347" t="s">
        <v>1871</v>
      </c>
      <c r="E1347" t="s">
        <v>2113</v>
      </c>
      <c r="F1347" t="s">
        <v>2117</v>
      </c>
      <c r="G1347" t="s">
        <v>2125</v>
      </c>
      <c r="H1347" t="s">
        <v>2136</v>
      </c>
      <c r="I1347" t="s">
        <v>2144</v>
      </c>
      <c r="J1347" t="s">
        <v>2147</v>
      </c>
      <c r="K1347" t="s">
        <v>2155</v>
      </c>
      <c r="L1347" s="3">
        <v>2</v>
      </c>
      <c r="M1347" s="2">
        <v>754.03</v>
      </c>
      <c r="N1347" s="5">
        <v>0.05</v>
      </c>
      <c r="O1347" s="2">
        <v>1432.66</v>
      </c>
      <c r="P1347" s="2">
        <v>463.55</v>
      </c>
      <c r="Q1347" t="s">
        <v>2167</v>
      </c>
    </row>
    <row r="1348" spans="1:17">
      <c r="A1348" t="s">
        <v>1363</v>
      </c>
      <c r="B1348" s="1">
        <v>45988</v>
      </c>
      <c r="C1348" t="s">
        <v>1781</v>
      </c>
      <c r="D1348" t="s">
        <v>2079</v>
      </c>
      <c r="E1348" t="s">
        <v>2114</v>
      </c>
      <c r="F1348" t="s">
        <v>2118</v>
      </c>
      <c r="G1348" t="s">
        <v>2126</v>
      </c>
      <c r="H1348" t="s">
        <v>2137</v>
      </c>
      <c r="I1348" t="s">
        <v>2144</v>
      </c>
      <c r="J1348" t="s">
        <v>2147</v>
      </c>
      <c r="K1348" t="s">
        <v>2155</v>
      </c>
      <c r="L1348" s="3">
        <v>2</v>
      </c>
      <c r="M1348" s="2">
        <v>747.2</v>
      </c>
      <c r="N1348" s="5">
        <v>0.1</v>
      </c>
      <c r="O1348" s="2">
        <v>1344.96</v>
      </c>
      <c r="P1348" s="2">
        <v>399.19</v>
      </c>
      <c r="Q1348" t="s">
        <v>2170</v>
      </c>
    </row>
    <row r="1349" spans="1:17">
      <c r="A1349" t="s">
        <v>1364</v>
      </c>
      <c r="B1349" s="1">
        <v>45988</v>
      </c>
      <c r="C1349" t="s">
        <v>1647</v>
      </c>
      <c r="D1349" t="s">
        <v>1945</v>
      </c>
      <c r="E1349" t="s">
        <v>2114</v>
      </c>
      <c r="F1349" t="s">
        <v>2117</v>
      </c>
      <c r="G1349" t="s">
        <v>2123</v>
      </c>
      <c r="H1349" t="s">
        <v>2134</v>
      </c>
      <c r="I1349" t="s">
        <v>2144</v>
      </c>
      <c r="J1349" t="s">
        <v>2147</v>
      </c>
      <c r="K1349" t="s">
        <v>2155</v>
      </c>
      <c r="L1349" s="3">
        <v>4</v>
      </c>
      <c r="M1349" s="2">
        <v>771.1</v>
      </c>
      <c r="N1349" s="5">
        <v>0.15</v>
      </c>
      <c r="O1349" s="2">
        <v>2621.74</v>
      </c>
      <c r="P1349" s="2">
        <v>331.96</v>
      </c>
      <c r="Q1349" t="s">
        <v>2170</v>
      </c>
    </row>
    <row r="1350" spans="1:17">
      <c r="A1350" t="s">
        <v>1365</v>
      </c>
      <c r="B1350" s="1">
        <v>45988</v>
      </c>
      <c r="C1350" t="s">
        <v>1790</v>
      </c>
      <c r="D1350" t="s">
        <v>2088</v>
      </c>
      <c r="E1350" t="s">
        <v>2115</v>
      </c>
      <c r="F1350" t="s">
        <v>2119</v>
      </c>
      <c r="G1350" t="s">
        <v>2129</v>
      </c>
      <c r="H1350" t="s">
        <v>2139</v>
      </c>
      <c r="I1350" t="s">
        <v>2144</v>
      </c>
      <c r="J1350" t="s">
        <v>2150</v>
      </c>
      <c r="K1350" t="s">
        <v>2159</v>
      </c>
      <c r="L1350" s="3">
        <v>1</v>
      </c>
      <c r="M1350" s="2">
        <v>444.09</v>
      </c>
      <c r="N1350" s="5">
        <v>0.2</v>
      </c>
      <c r="O1350" s="2">
        <v>355.27</v>
      </c>
      <c r="P1350" s="2">
        <v>34.659999999999997</v>
      </c>
      <c r="Q1350" t="s">
        <v>2167</v>
      </c>
    </row>
    <row r="1351" spans="1:17">
      <c r="A1351" t="s">
        <v>1366</v>
      </c>
      <c r="B1351" s="1">
        <v>45989</v>
      </c>
      <c r="C1351" t="s">
        <v>1661</v>
      </c>
      <c r="D1351" t="s">
        <v>1959</v>
      </c>
      <c r="E1351" t="s">
        <v>2113</v>
      </c>
      <c r="F1351" t="s">
        <v>2117</v>
      </c>
      <c r="G1351" t="s">
        <v>2121</v>
      </c>
      <c r="H1351" t="s">
        <v>2132</v>
      </c>
      <c r="I1351" t="s">
        <v>2144</v>
      </c>
      <c r="J1351" t="s">
        <v>2147</v>
      </c>
      <c r="K1351" t="s">
        <v>2155</v>
      </c>
      <c r="L1351" s="3">
        <v>2</v>
      </c>
      <c r="M1351" s="2">
        <v>776.44</v>
      </c>
      <c r="N1351" s="5">
        <v>0.15</v>
      </c>
      <c r="O1351" s="2">
        <v>1319.95</v>
      </c>
      <c r="P1351" s="2">
        <v>283.64999999999998</v>
      </c>
      <c r="Q1351" t="s">
        <v>2169</v>
      </c>
    </row>
    <row r="1352" spans="1:17">
      <c r="A1352" t="s">
        <v>1367</v>
      </c>
      <c r="B1352" s="1">
        <v>45989</v>
      </c>
      <c r="C1352" t="s">
        <v>1574</v>
      </c>
      <c r="D1352" t="s">
        <v>1872</v>
      </c>
      <c r="E1352" t="s">
        <v>2113</v>
      </c>
      <c r="F1352" t="s">
        <v>2118</v>
      </c>
      <c r="G1352" t="s">
        <v>2122</v>
      </c>
      <c r="H1352" t="s">
        <v>2133</v>
      </c>
      <c r="I1352" t="s">
        <v>2144</v>
      </c>
      <c r="J1352" t="s">
        <v>2150</v>
      </c>
      <c r="K1352" t="s">
        <v>2159</v>
      </c>
      <c r="L1352" s="3">
        <v>1</v>
      </c>
      <c r="M1352" s="2">
        <v>452.94</v>
      </c>
      <c r="N1352" s="5">
        <v>0</v>
      </c>
      <c r="O1352" s="2">
        <v>452.94</v>
      </c>
      <c r="P1352" s="2">
        <v>92.41</v>
      </c>
      <c r="Q1352" t="s">
        <v>2169</v>
      </c>
    </row>
    <row r="1353" spans="1:17">
      <c r="A1353" t="s">
        <v>1368</v>
      </c>
      <c r="B1353" s="1">
        <v>45989</v>
      </c>
      <c r="C1353" t="s">
        <v>1672</v>
      </c>
      <c r="D1353" t="s">
        <v>1970</v>
      </c>
      <c r="E1353" t="s">
        <v>2115</v>
      </c>
      <c r="F1353" t="s">
        <v>2118</v>
      </c>
      <c r="G1353" t="s">
        <v>2122</v>
      </c>
      <c r="H1353" t="s">
        <v>2133</v>
      </c>
      <c r="I1353" t="s">
        <v>2142</v>
      </c>
      <c r="J1353" t="s">
        <v>2151</v>
      </c>
      <c r="K1353" t="s">
        <v>2160</v>
      </c>
      <c r="L1353" s="3">
        <v>4</v>
      </c>
      <c r="M1353" s="2">
        <v>8240.89</v>
      </c>
      <c r="N1353" s="5">
        <v>0.05</v>
      </c>
      <c r="O1353" s="2">
        <v>31315.38</v>
      </c>
      <c r="P1353" s="2">
        <v>5763.04</v>
      </c>
      <c r="Q1353" t="s">
        <v>2170</v>
      </c>
    </row>
    <row r="1354" spans="1:17">
      <c r="A1354" t="s">
        <v>1369</v>
      </c>
      <c r="B1354" s="1">
        <v>45989</v>
      </c>
      <c r="C1354" t="s">
        <v>1639</v>
      </c>
      <c r="D1354" t="s">
        <v>1937</v>
      </c>
      <c r="E1354" t="s">
        <v>2114</v>
      </c>
      <c r="F1354" t="s">
        <v>2116</v>
      </c>
      <c r="G1354" t="s">
        <v>2127</v>
      </c>
      <c r="H1354" t="s">
        <v>2140</v>
      </c>
      <c r="I1354" t="s">
        <v>2142</v>
      </c>
      <c r="J1354" t="s">
        <v>2145</v>
      </c>
      <c r="K1354" t="s">
        <v>2165</v>
      </c>
      <c r="L1354" s="3">
        <v>1</v>
      </c>
      <c r="M1354" s="2">
        <v>6459.36</v>
      </c>
      <c r="N1354" s="5">
        <v>0</v>
      </c>
      <c r="O1354" s="2">
        <v>6459.36</v>
      </c>
      <c r="P1354" s="2">
        <v>1687.43</v>
      </c>
      <c r="Q1354" t="s">
        <v>2169</v>
      </c>
    </row>
    <row r="1355" spans="1:17">
      <c r="A1355" t="s">
        <v>1370</v>
      </c>
      <c r="B1355" s="1">
        <v>45990</v>
      </c>
      <c r="C1355" t="s">
        <v>1599</v>
      </c>
      <c r="D1355" t="s">
        <v>1897</v>
      </c>
      <c r="E1355" t="s">
        <v>2114</v>
      </c>
      <c r="F1355" t="s">
        <v>2116</v>
      </c>
      <c r="G1355" t="s">
        <v>2120</v>
      </c>
      <c r="H1355" t="s">
        <v>2131</v>
      </c>
      <c r="I1355" t="s">
        <v>2143</v>
      </c>
      <c r="J1355" t="s">
        <v>2149</v>
      </c>
      <c r="K1355" t="s">
        <v>2163</v>
      </c>
      <c r="L1355" s="3">
        <v>2</v>
      </c>
      <c r="M1355" s="2">
        <v>66455.899999999994</v>
      </c>
      <c r="N1355" s="5">
        <v>0.15</v>
      </c>
      <c r="O1355" s="2">
        <v>112975.03</v>
      </c>
      <c r="P1355" s="2">
        <v>15943.74</v>
      </c>
      <c r="Q1355" t="s">
        <v>2170</v>
      </c>
    </row>
    <row r="1356" spans="1:17">
      <c r="A1356" t="s">
        <v>1371</v>
      </c>
      <c r="B1356" s="1">
        <v>45990</v>
      </c>
      <c r="C1356" t="s">
        <v>1612</v>
      </c>
      <c r="D1356" t="s">
        <v>1910</v>
      </c>
      <c r="E1356" t="s">
        <v>2114</v>
      </c>
      <c r="F1356" t="s">
        <v>2118</v>
      </c>
      <c r="G1356" t="s">
        <v>2126</v>
      </c>
      <c r="H1356" t="s">
        <v>2137</v>
      </c>
      <c r="I1356" t="s">
        <v>2144</v>
      </c>
      <c r="J1356" t="s">
        <v>2152</v>
      </c>
      <c r="K1356" t="s">
        <v>2166</v>
      </c>
      <c r="L1356" s="3">
        <v>3</v>
      </c>
      <c r="M1356" s="2">
        <v>597.64</v>
      </c>
      <c r="N1356" s="5">
        <v>0.15</v>
      </c>
      <c r="O1356" s="2">
        <v>1523.98</v>
      </c>
      <c r="P1356" s="2">
        <v>167.92</v>
      </c>
      <c r="Q1356" t="s">
        <v>2167</v>
      </c>
    </row>
    <row r="1357" spans="1:17">
      <c r="A1357" t="s">
        <v>1372</v>
      </c>
      <c r="B1357" s="1">
        <v>45990</v>
      </c>
      <c r="C1357" t="s">
        <v>1640</v>
      </c>
      <c r="D1357" t="s">
        <v>1938</v>
      </c>
      <c r="E1357" t="s">
        <v>2115</v>
      </c>
      <c r="F1357" t="s">
        <v>2117</v>
      </c>
      <c r="G1357" t="s">
        <v>2125</v>
      </c>
      <c r="H1357" t="s">
        <v>2136</v>
      </c>
      <c r="I1357" t="s">
        <v>2143</v>
      </c>
      <c r="J1357" t="s">
        <v>2149</v>
      </c>
      <c r="K1357" t="s">
        <v>2158</v>
      </c>
      <c r="L1357" s="3">
        <v>3</v>
      </c>
      <c r="M1357" s="2">
        <v>49347.77</v>
      </c>
      <c r="N1357" s="5">
        <v>0.1</v>
      </c>
      <c r="O1357" s="2">
        <v>133238.98000000001</v>
      </c>
      <c r="P1357" s="2">
        <v>12737.2</v>
      </c>
      <c r="Q1357" t="s">
        <v>2170</v>
      </c>
    </row>
    <row r="1358" spans="1:17">
      <c r="A1358" t="s">
        <v>1373</v>
      </c>
      <c r="B1358" s="1">
        <v>45991</v>
      </c>
      <c r="C1358" t="s">
        <v>1812</v>
      </c>
      <c r="D1358" t="s">
        <v>2110</v>
      </c>
      <c r="E1358" t="s">
        <v>2114</v>
      </c>
      <c r="F1358" t="s">
        <v>2118</v>
      </c>
      <c r="G1358" t="s">
        <v>2126</v>
      </c>
      <c r="H1358" t="s">
        <v>2137</v>
      </c>
      <c r="I1358" t="s">
        <v>2143</v>
      </c>
      <c r="J1358" t="s">
        <v>2149</v>
      </c>
      <c r="K1358" t="s">
        <v>2163</v>
      </c>
      <c r="L1358" s="3">
        <v>1</v>
      </c>
      <c r="M1358" s="2">
        <v>65475.38</v>
      </c>
      <c r="N1358" s="5">
        <v>0</v>
      </c>
      <c r="O1358" s="2">
        <v>65475.38</v>
      </c>
      <c r="P1358" s="2">
        <v>14198.1</v>
      </c>
      <c r="Q1358" t="s">
        <v>2170</v>
      </c>
    </row>
    <row r="1359" spans="1:17">
      <c r="A1359" t="s">
        <v>1374</v>
      </c>
      <c r="B1359" s="1">
        <v>45991</v>
      </c>
      <c r="C1359" t="s">
        <v>1538</v>
      </c>
      <c r="D1359" t="s">
        <v>1836</v>
      </c>
      <c r="E1359" t="s">
        <v>2114</v>
      </c>
      <c r="F1359" t="s">
        <v>2118</v>
      </c>
      <c r="G1359" t="s">
        <v>2126</v>
      </c>
      <c r="H1359" t="s">
        <v>2137</v>
      </c>
      <c r="I1359" t="s">
        <v>2144</v>
      </c>
      <c r="J1359" t="s">
        <v>2150</v>
      </c>
      <c r="K1359" t="s">
        <v>2159</v>
      </c>
      <c r="L1359" s="3">
        <v>2</v>
      </c>
      <c r="M1359" s="2">
        <v>450.29</v>
      </c>
      <c r="N1359" s="5">
        <v>0</v>
      </c>
      <c r="O1359" s="2">
        <v>900.58</v>
      </c>
      <c r="P1359" s="2">
        <v>291.95</v>
      </c>
      <c r="Q1359" t="s">
        <v>2167</v>
      </c>
    </row>
    <row r="1360" spans="1:17">
      <c r="A1360" t="s">
        <v>1375</v>
      </c>
      <c r="B1360" s="1">
        <v>45991</v>
      </c>
      <c r="C1360" t="s">
        <v>1537</v>
      </c>
      <c r="D1360" t="s">
        <v>1835</v>
      </c>
      <c r="E1360" t="s">
        <v>2113</v>
      </c>
      <c r="F1360" t="s">
        <v>2119</v>
      </c>
      <c r="G1360" t="s">
        <v>2124</v>
      </c>
      <c r="H1360" t="s">
        <v>2135</v>
      </c>
      <c r="I1360" t="s">
        <v>2144</v>
      </c>
      <c r="J1360" t="s">
        <v>2150</v>
      </c>
      <c r="K1360" t="s">
        <v>2159</v>
      </c>
      <c r="L1360" s="3">
        <v>1</v>
      </c>
      <c r="M1360" s="2">
        <v>472.15</v>
      </c>
      <c r="N1360" s="5">
        <v>0.1</v>
      </c>
      <c r="O1360" s="2">
        <v>424.94</v>
      </c>
      <c r="P1360" s="2">
        <v>131.34</v>
      </c>
      <c r="Q1360" t="s">
        <v>2167</v>
      </c>
    </row>
    <row r="1361" spans="1:17">
      <c r="A1361" t="s">
        <v>1376</v>
      </c>
      <c r="B1361" s="1">
        <v>45991</v>
      </c>
      <c r="C1361" t="s">
        <v>1647</v>
      </c>
      <c r="D1361" t="s">
        <v>1945</v>
      </c>
      <c r="E1361" t="s">
        <v>2114</v>
      </c>
      <c r="F1361" t="s">
        <v>2119</v>
      </c>
      <c r="G1361" t="s">
        <v>2130</v>
      </c>
      <c r="H1361" t="s">
        <v>2141</v>
      </c>
      <c r="I1361" t="s">
        <v>2142</v>
      </c>
      <c r="J1361" t="s">
        <v>2151</v>
      </c>
      <c r="K1361" t="s">
        <v>2160</v>
      </c>
      <c r="L1361" s="3">
        <v>3</v>
      </c>
      <c r="M1361" s="2">
        <v>8880.2099999999991</v>
      </c>
      <c r="N1361" s="5">
        <v>0.2</v>
      </c>
      <c r="O1361" s="2">
        <v>21312.5</v>
      </c>
      <c r="P1361" s="2">
        <v>3245.19</v>
      </c>
      <c r="Q1361" t="s">
        <v>2167</v>
      </c>
    </row>
    <row r="1362" spans="1:17">
      <c r="A1362" t="s">
        <v>1377</v>
      </c>
      <c r="B1362" s="1">
        <v>45991</v>
      </c>
      <c r="C1362" t="s">
        <v>1659</v>
      </c>
      <c r="D1362" t="s">
        <v>1957</v>
      </c>
      <c r="E1362" t="s">
        <v>2113</v>
      </c>
      <c r="F1362" t="s">
        <v>2116</v>
      </c>
      <c r="G1362" t="s">
        <v>2120</v>
      </c>
      <c r="H1362" t="s">
        <v>2131</v>
      </c>
      <c r="I1362" t="s">
        <v>2144</v>
      </c>
      <c r="J1362" t="s">
        <v>2152</v>
      </c>
      <c r="K1362" t="s">
        <v>2162</v>
      </c>
      <c r="L1362" s="3">
        <v>2</v>
      </c>
      <c r="M1362" s="2">
        <v>342.3</v>
      </c>
      <c r="N1362" s="5">
        <v>0.05</v>
      </c>
      <c r="O1362" s="2">
        <v>650.37</v>
      </c>
      <c r="P1362" s="2">
        <v>128.47999999999999</v>
      </c>
      <c r="Q1362" t="s">
        <v>2168</v>
      </c>
    </row>
    <row r="1363" spans="1:17">
      <c r="A1363" t="s">
        <v>1378</v>
      </c>
      <c r="B1363" s="1">
        <v>45992</v>
      </c>
      <c r="C1363" t="s">
        <v>1616</v>
      </c>
      <c r="D1363" t="s">
        <v>1914</v>
      </c>
      <c r="E1363" t="s">
        <v>2114</v>
      </c>
      <c r="F1363" t="s">
        <v>2117</v>
      </c>
      <c r="G1363" t="s">
        <v>2125</v>
      </c>
      <c r="H1363" t="s">
        <v>2136</v>
      </c>
      <c r="I1363" t="s">
        <v>2142</v>
      </c>
      <c r="J1363" t="s">
        <v>2147</v>
      </c>
      <c r="K1363" t="s">
        <v>2157</v>
      </c>
      <c r="L1363" s="3">
        <v>5</v>
      </c>
      <c r="M1363" s="2">
        <v>13840.12</v>
      </c>
      <c r="N1363" s="5">
        <v>0.2</v>
      </c>
      <c r="O1363" s="2">
        <v>55360.480000000003</v>
      </c>
      <c r="P1363" s="2">
        <v>3379.55</v>
      </c>
      <c r="Q1363" t="s">
        <v>2169</v>
      </c>
    </row>
    <row r="1364" spans="1:17">
      <c r="A1364" t="s">
        <v>1379</v>
      </c>
      <c r="B1364" s="1">
        <v>45992</v>
      </c>
      <c r="C1364" t="s">
        <v>1774</v>
      </c>
      <c r="D1364" t="s">
        <v>2072</v>
      </c>
      <c r="E1364" t="s">
        <v>2114</v>
      </c>
      <c r="F1364" t="s">
        <v>2117</v>
      </c>
      <c r="G1364" t="s">
        <v>2123</v>
      </c>
      <c r="H1364" t="s">
        <v>2134</v>
      </c>
      <c r="I1364" t="s">
        <v>2142</v>
      </c>
      <c r="J1364" t="s">
        <v>2151</v>
      </c>
      <c r="K1364" t="s">
        <v>2160</v>
      </c>
      <c r="L1364" s="3">
        <v>3</v>
      </c>
      <c r="M1364" s="2">
        <v>8753.6200000000008</v>
      </c>
      <c r="N1364" s="5">
        <v>0.05</v>
      </c>
      <c r="O1364" s="2">
        <v>24947.82</v>
      </c>
      <c r="P1364" s="2">
        <v>5884.39</v>
      </c>
      <c r="Q1364" t="s">
        <v>2167</v>
      </c>
    </row>
    <row r="1365" spans="1:17">
      <c r="A1365" t="s">
        <v>1380</v>
      </c>
      <c r="B1365" s="1">
        <v>45992</v>
      </c>
      <c r="C1365" t="s">
        <v>1678</v>
      </c>
      <c r="D1365" t="s">
        <v>1976</v>
      </c>
      <c r="E1365" t="s">
        <v>2113</v>
      </c>
      <c r="F1365" t="s">
        <v>2119</v>
      </c>
      <c r="G1365" t="s">
        <v>2124</v>
      </c>
      <c r="H1365" t="s">
        <v>2135</v>
      </c>
      <c r="I1365" t="s">
        <v>2143</v>
      </c>
      <c r="J1365" t="s">
        <v>2148</v>
      </c>
      <c r="K1365" t="s">
        <v>2161</v>
      </c>
      <c r="L1365" s="3">
        <v>2</v>
      </c>
      <c r="M1365" s="2">
        <v>1840.75</v>
      </c>
      <c r="N1365" s="5">
        <v>0</v>
      </c>
      <c r="O1365" s="2">
        <v>3681.5</v>
      </c>
      <c r="P1365" s="2">
        <v>576.67999999999995</v>
      </c>
      <c r="Q1365" t="s">
        <v>2170</v>
      </c>
    </row>
    <row r="1366" spans="1:17">
      <c r="A1366" t="s">
        <v>1381</v>
      </c>
      <c r="B1366" s="1">
        <v>45992</v>
      </c>
      <c r="C1366" t="s">
        <v>1573</v>
      </c>
      <c r="D1366" t="s">
        <v>1871</v>
      </c>
      <c r="E1366" t="s">
        <v>2115</v>
      </c>
      <c r="F1366" t="s">
        <v>2119</v>
      </c>
      <c r="G1366" t="s">
        <v>2129</v>
      </c>
      <c r="H1366" t="s">
        <v>2139</v>
      </c>
      <c r="I1366" t="s">
        <v>2142</v>
      </c>
      <c r="J1366" t="s">
        <v>2145</v>
      </c>
      <c r="K1366" t="s">
        <v>2153</v>
      </c>
      <c r="L1366" s="3">
        <v>1</v>
      </c>
      <c r="M1366" s="2">
        <v>12593.15</v>
      </c>
      <c r="N1366" s="5">
        <v>0.2</v>
      </c>
      <c r="O1366" s="2">
        <v>10074.52</v>
      </c>
      <c r="P1366" s="2">
        <v>1359.28</v>
      </c>
      <c r="Q1366" t="s">
        <v>2168</v>
      </c>
    </row>
    <row r="1367" spans="1:17">
      <c r="A1367" t="s">
        <v>1382</v>
      </c>
      <c r="B1367" s="1">
        <v>45992</v>
      </c>
      <c r="C1367" t="s">
        <v>1616</v>
      </c>
      <c r="D1367" t="s">
        <v>1914</v>
      </c>
      <c r="E1367" t="s">
        <v>2113</v>
      </c>
      <c r="F1367" t="s">
        <v>2117</v>
      </c>
      <c r="G1367" t="s">
        <v>2123</v>
      </c>
      <c r="H1367" t="s">
        <v>2134</v>
      </c>
      <c r="I1367" t="s">
        <v>2142</v>
      </c>
      <c r="J1367" t="s">
        <v>2147</v>
      </c>
      <c r="K1367" t="s">
        <v>2157</v>
      </c>
      <c r="L1367" s="3">
        <v>1</v>
      </c>
      <c r="M1367" s="2">
        <v>14946.5</v>
      </c>
      <c r="N1367" s="5">
        <v>0.05</v>
      </c>
      <c r="O1367" s="2">
        <v>14199.17</v>
      </c>
      <c r="P1367" s="2">
        <v>1888.63</v>
      </c>
      <c r="Q1367" t="s">
        <v>2168</v>
      </c>
    </row>
    <row r="1368" spans="1:17">
      <c r="A1368" t="s">
        <v>1383</v>
      </c>
      <c r="B1368" s="1">
        <v>45993</v>
      </c>
      <c r="C1368" t="s">
        <v>1792</v>
      </c>
      <c r="D1368" t="s">
        <v>2090</v>
      </c>
      <c r="E1368" t="s">
        <v>2115</v>
      </c>
      <c r="F1368" t="s">
        <v>2119</v>
      </c>
      <c r="G1368" t="s">
        <v>2129</v>
      </c>
      <c r="H1368" t="s">
        <v>2139</v>
      </c>
      <c r="I1368" t="s">
        <v>2143</v>
      </c>
      <c r="J1368" t="s">
        <v>2148</v>
      </c>
      <c r="K1368" t="s">
        <v>2161</v>
      </c>
      <c r="L1368" s="3">
        <v>3</v>
      </c>
      <c r="M1368" s="2">
        <v>1759.32</v>
      </c>
      <c r="N1368" s="5">
        <v>0</v>
      </c>
      <c r="O1368" s="2">
        <v>5277.96</v>
      </c>
      <c r="P1368" s="2">
        <v>654.88</v>
      </c>
      <c r="Q1368" t="s">
        <v>2168</v>
      </c>
    </row>
    <row r="1369" spans="1:17">
      <c r="A1369" t="s">
        <v>1384</v>
      </c>
      <c r="B1369" s="1">
        <v>45993</v>
      </c>
      <c r="C1369" t="s">
        <v>1798</v>
      </c>
      <c r="D1369" t="s">
        <v>2096</v>
      </c>
      <c r="E1369" t="s">
        <v>2114</v>
      </c>
      <c r="F1369" t="s">
        <v>2116</v>
      </c>
      <c r="G1369" t="s">
        <v>2120</v>
      </c>
      <c r="H1369" t="s">
        <v>2131</v>
      </c>
      <c r="I1369" t="s">
        <v>2143</v>
      </c>
      <c r="J1369" t="s">
        <v>2149</v>
      </c>
      <c r="K1369" t="s">
        <v>2158</v>
      </c>
      <c r="L1369" s="3">
        <v>3</v>
      </c>
      <c r="M1369" s="2">
        <v>46013.45</v>
      </c>
      <c r="N1369" s="5">
        <v>0.1</v>
      </c>
      <c r="O1369" s="2">
        <v>124236.31</v>
      </c>
      <c r="P1369" s="2">
        <v>16223.27</v>
      </c>
      <c r="Q1369" t="s">
        <v>2168</v>
      </c>
    </row>
    <row r="1370" spans="1:17">
      <c r="A1370" t="s">
        <v>1385</v>
      </c>
      <c r="B1370" s="1">
        <v>45993</v>
      </c>
      <c r="C1370" t="s">
        <v>1726</v>
      </c>
      <c r="D1370" t="s">
        <v>2024</v>
      </c>
      <c r="E1370" t="s">
        <v>2114</v>
      </c>
      <c r="F1370" t="s">
        <v>2118</v>
      </c>
      <c r="G1370" t="s">
        <v>2128</v>
      </c>
      <c r="H1370" t="s">
        <v>2128</v>
      </c>
      <c r="I1370" t="s">
        <v>2142</v>
      </c>
      <c r="J1370" t="s">
        <v>2145</v>
      </c>
      <c r="K1370" t="s">
        <v>2165</v>
      </c>
      <c r="L1370" s="3">
        <v>4</v>
      </c>
      <c r="M1370" s="2">
        <v>6432.8</v>
      </c>
      <c r="N1370" s="5">
        <v>0</v>
      </c>
      <c r="O1370" s="2">
        <v>25731.200000000001</v>
      </c>
      <c r="P1370" s="2">
        <v>4611.05</v>
      </c>
      <c r="Q1370" t="s">
        <v>2167</v>
      </c>
    </row>
    <row r="1371" spans="1:17">
      <c r="A1371" t="s">
        <v>1386</v>
      </c>
      <c r="B1371" s="1">
        <v>45993</v>
      </c>
      <c r="C1371" t="s">
        <v>1638</v>
      </c>
      <c r="D1371" t="s">
        <v>1936</v>
      </c>
      <c r="E1371" t="s">
        <v>2113</v>
      </c>
      <c r="F1371" t="s">
        <v>2117</v>
      </c>
      <c r="G1371" t="s">
        <v>2121</v>
      </c>
      <c r="H1371" t="s">
        <v>2132</v>
      </c>
      <c r="I1371" t="s">
        <v>2144</v>
      </c>
      <c r="J1371" t="s">
        <v>2152</v>
      </c>
      <c r="K1371" t="s">
        <v>2166</v>
      </c>
      <c r="L1371" s="3">
        <v>3</v>
      </c>
      <c r="M1371" s="2">
        <v>587.74</v>
      </c>
      <c r="N1371" s="5">
        <v>0.1</v>
      </c>
      <c r="O1371" s="2">
        <v>1586.9</v>
      </c>
      <c r="P1371" s="2">
        <v>290.33999999999997</v>
      </c>
      <c r="Q1371" t="s">
        <v>2170</v>
      </c>
    </row>
    <row r="1372" spans="1:17">
      <c r="A1372" t="s">
        <v>1387</v>
      </c>
      <c r="B1372" s="1">
        <v>45993</v>
      </c>
      <c r="C1372" t="s">
        <v>1629</v>
      </c>
      <c r="D1372" t="s">
        <v>1927</v>
      </c>
      <c r="E1372" t="s">
        <v>2113</v>
      </c>
      <c r="F1372" t="s">
        <v>2119</v>
      </c>
      <c r="G1372" t="s">
        <v>2130</v>
      </c>
      <c r="H1372" t="s">
        <v>2141</v>
      </c>
      <c r="I1372" t="s">
        <v>2143</v>
      </c>
      <c r="J1372" t="s">
        <v>2149</v>
      </c>
      <c r="K1372" t="s">
        <v>2163</v>
      </c>
      <c r="L1372" s="3">
        <v>4</v>
      </c>
      <c r="M1372" s="2">
        <v>65198.080000000002</v>
      </c>
      <c r="N1372" s="5">
        <v>0.05</v>
      </c>
      <c r="O1372" s="2">
        <v>247752.7</v>
      </c>
      <c r="P1372" s="2">
        <v>30369.200000000001</v>
      </c>
      <c r="Q1372" t="s">
        <v>2170</v>
      </c>
    </row>
    <row r="1373" spans="1:17">
      <c r="A1373" t="s">
        <v>1388</v>
      </c>
      <c r="B1373" s="1">
        <v>45994</v>
      </c>
      <c r="C1373" t="s">
        <v>1746</v>
      </c>
      <c r="D1373" t="s">
        <v>2044</v>
      </c>
      <c r="E1373" t="s">
        <v>2114</v>
      </c>
      <c r="F1373" t="s">
        <v>2117</v>
      </c>
      <c r="G1373" t="s">
        <v>2123</v>
      </c>
      <c r="H1373" t="s">
        <v>2134</v>
      </c>
      <c r="I1373" t="s">
        <v>2143</v>
      </c>
      <c r="J1373" t="s">
        <v>2149</v>
      </c>
      <c r="K1373" t="s">
        <v>2163</v>
      </c>
      <c r="L1373" s="3">
        <v>4</v>
      </c>
      <c r="M1373" s="2">
        <v>67485.66</v>
      </c>
      <c r="N1373" s="5">
        <v>0</v>
      </c>
      <c r="O1373" s="2">
        <v>269942.64</v>
      </c>
      <c r="P1373" s="2">
        <v>43200.28</v>
      </c>
      <c r="Q1373" t="s">
        <v>2170</v>
      </c>
    </row>
    <row r="1374" spans="1:17">
      <c r="A1374" t="s">
        <v>1389</v>
      </c>
      <c r="B1374" s="1">
        <v>45994</v>
      </c>
      <c r="C1374" t="s">
        <v>1757</v>
      </c>
      <c r="D1374" t="s">
        <v>2055</v>
      </c>
      <c r="E1374" t="s">
        <v>2113</v>
      </c>
      <c r="F1374" t="s">
        <v>2117</v>
      </c>
      <c r="G1374" t="s">
        <v>2125</v>
      </c>
      <c r="H1374" t="s">
        <v>2136</v>
      </c>
      <c r="I1374" t="s">
        <v>2143</v>
      </c>
      <c r="J1374" t="s">
        <v>2148</v>
      </c>
      <c r="K1374" t="s">
        <v>2161</v>
      </c>
      <c r="L1374" s="3">
        <v>3</v>
      </c>
      <c r="M1374" s="2">
        <v>1822.47</v>
      </c>
      <c r="N1374" s="5">
        <v>0.1</v>
      </c>
      <c r="O1374" s="2">
        <v>4920.67</v>
      </c>
      <c r="P1374" s="2">
        <v>971.2</v>
      </c>
      <c r="Q1374" t="s">
        <v>2170</v>
      </c>
    </row>
    <row r="1375" spans="1:17">
      <c r="A1375" t="s">
        <v>1390</v>
      </c>
      <c r="B1375" s="1">
        <v>45994</v>
      </c>
      <c r="C1375" t="s">
        <v>1534</v>
      </c>
      <c r="D1375" t="s">
        <v>1832</v>
      </c>
      <c r="E1375" t="s">
        <v>2114</v>
      </c>
      <c r="F1375" t="s">
        <v>2117</v>
      </c>
      <c r="G1375" t="s">
        <v>2121</v>
      </c>
      <c r="H1375" t="s">
        <v>2132</v>
      </c>
      <c r="I1375" t="s">
        <v>2144</v>
      </c>
      <c r="J1375" t="s">
        <v>2152</v>
      </c>
      <c r="K1375" t="s">
        <v>2162</v>
      </c>
      <c r="L1375" s="3">
        <v>2</v>
      </c>
      <c r="M1375" s="2">
        <v>333.27</v>
      </c>
      <c r="N1375" s="5">
        <v>0</v>
      </c>
      <c r="O1375" s="2">
        <v>666.54</v>
      </c>
      <c r="P1375" s="2">
        <v>147.69999999999999</v>
      </c>
      <c r="Q1375" t="s">
        <v>2169</v>
      </c>
    </row>
    <row r="1376" spans="1:17">
      <c r="A1376" t="s">
        <v>1391</v>
      </c>
      <c r="B1376" s="1">
        <v>45994</v>
      </c>
      <c r="C1376" t="s">
        <v>1613</v>
      </c>
      <c r="D1376" t="s">
        <v>1911</v>
      </c>
      <c r="E1376" t="s">
        <v>2113</v>
      </c>
      <c r="F1376" t="s">
        <v>2116</v>
      </c>
      <c r="G1376" t="s">
        <v>2120</v>
      </c>
      <c r="H1376" t="s">
        <v>2131</v>
      </c>
      <c r="I1376" t="s">
        <v>2143</v>
      </c>
      <c r="J1376" t="s">
        <v>2149</v>
      </c>
      <c r="K1376" t="s">
        <v>2158</v>
      </c>
      <c r="L1376" s="3">
        <v>1</v>
      </c>
      <c r="M1376" s="2">
        <v>47775.839999999997</v>
      </c>
      <c r="N1376" s="5">
        <v>0.15</v>
      </c>
      <c r="O1376" s="2">
        <v>40609.46</v>
      </c>
      <c r="P1376" s="2">
        <v>6624.18</v>
      </c>
      <c r="Q1376" t="s">
        <v>2170</v>
      </c>
    </row>
    <row r="1377" spans="1:17">
      <c r="A1377" t="s">
        <v>1392</v>
      </c>
      <c r="B1377" s="1">
        <v>45994</v>
      </c>
      <c r="C1377" t="s">
        <v>1595</v>
      </c>
      <c r="D1377" t="s">
        <v>1893</v>
      </c>
      <c r="E1377" t="s">
        <v>2114</v>
      </c>
      <c r="F1377" t="s">
        <v>2116</v>
      </c>
      <c r="G1377" t="s">
        <v>2127</v>
      </c>
      <c r="H1377" t="s">
        <v>2140</v>
      </c>
      <c r="I1377" t="s">
        <v>2143</v>
      </c>
      <c r="J1377" t="s">
        <v>2148</v>
      </c>
      <c r="K1377" t="s">
        <v>2161</v>
      </c>
      <c r="L1377" s="3">
        <v>1</v>
      </c>
      <c r="M1377" s="2">
        <v>1712.64</v>
      </c>
      <c r="N1377" s="5">
        <v>0.15</v>
      </c>
      <c r="O1377" s="2">
        <v>1455.74</v>
      </c>
      <c r="P1377" s="2">
        <v>153.47</v>
      </c>
      <c r="Q1377" t="s">
        <v>2170</v>
      </c>
    </row>
    <row r="1378" spans="1:17">
      <c r="A1378" t="s">
        <v>1393</v>
      </c>
      <c r="B1378" s="1">
        <v>45994</v>
      </c>
      <c r="C1378" t="s">
        <v>1581</v>
      </c>
      <c r="D1378" t="s">
        <v>1879</v>
      </c>
      <c r="E1378" t="s">
        <v>2113</v>
      </c>
      <c r="F1378" t="s">
        <v>2116</v>
      </c>
      <c r="G1378" t="s">
        <v>2127</v>
      </c>
      <c r="H1378" t="s">
        <v>2138</v>
      </c>
      <c r="I1378" t="s">
        <v>2143</v>
      </c>
      <c r="J1378" t="s">
        <v>2148</v>
      </c>
      <c r="K1378" t="s">
        <v>2156</v>
      </c>
      <c r="L1378" s="3">
        <v>5</v>
      </c>
      <c r="M1378" s="2">
        <v>1200.8900000000001</v>
      </c>
      <c r="N1378" s="5">
        <v>0</v>
      </c>
      <c r="O1378" s="2">
        <v>6004.45</v>
      </c>
      <c r="P1378" s="2">
        <v>756.85</v>
      </c>
      <c r="Q1378" t="s">
        <v>2170</v>
      </c>
    </row>
    <row r="1379" spans="1:17">
      <c r="A1379" t="s">
        <v>1394</v>
      </c>
      <c r="B1379" s="1">
        <v>45995</v>
      </c>
      <c r="C1379" t="s">
        <v>1544</v>
      </c>
      <c r="D1379" t="s">
        <v>1842</v>
      </c>
      <c r="E1379" t="s">
        <v>2114</v>
      </c>
      <c r="F1379" t="s">
        <v>2118</v>
      </c>
      <c r="G1379" t="s">
        <v>2122</v>
      </c>
      <c r="H1379" t="s">
        <v>2133</v>
      </c>
      <c r="I1379" t="s">
        <v>2142</v>
      </c>
      <c r="J1379" t="s">
        <v>2151</v>
      </c>
      <c r="K1379" t="s">
        <v>2160</v>
      </c>
      <c r="L1379" s="3">
        <v>1</v>
      </c>
      <c r="M1379" s="2">
        <v>8082</v>
      </c>
      <c r="N1379" s="5">
        <v>0.2</v>
      </c>
      <c r="O1379" s="2">
        <v>6465.6</v>
      </c>
      <c r="P1379" s="2">
        <v>1492.06</v>
      </c>
      <c r="Q1379" t="s">
        <v>2169</v>
      </c>
    </row>
    <row r="1380" spans="1:17">
      <c r="A1380" t="s">
        <v>1395</v>
      </c>
      <c r="B1380" s="1">
        <v>45995</v>
      </c>
      <c r="C1380" t="s">
        <v>1553</v>
      </c>
      <c r="D1380" t="s">
        <v>1851</v>
      </c>
      <c r="E1380" t="s">
        <v>2114</v>
      </c>
      <c r="F1380" t="s">
        <v>2118</v>
      </c>
      <c r="G1380" t="s">
        <v>2128</v>
      </c>
      <c r="H1380" t="s">
        <v>2128</v>
      </c>
      <c r="I1380" t="s">
        <v>2144</v>
      </c>
      <c r="J1380" t="s">
        <v>2152</v>
      </c>
      <c r="K1380" t="s">
        <v>2166</v>
      </c>
      <c r="L1380" s="3">
        <v>4</v>
      </c>
      <c r="M1380" s="2">
        <v>599.24</v>
      </c>
      <c r="N1380" s="5">
        <v>0</v>
      </c>
      <c r="O1380" s="2">
        <v>2396.96</v>
      </c>
      <c r="P1380" s="2">
        <v>691</v>
      </c>
      <c r="Q1380" t="s">
        <v>2170</v>
      </c>
    </row>
    <row r="1381" spans="1:17">
      <c r="A1381" t="s">
        <v>1396</v>
      </c>
      <c r="B1381" s="1">
        <v>45996</v>
      </c>
      <c r="C1381" t="s">
        <v>1677</v>
      </c>
      <c r="D1381" t="s">
        <v>1975</v>
      </c>
      <c r="E1381" t="s">
        <v>2113</v>
      </c>
      <c r="F1381" t="s">
        <v>2118</v>
      </c>
      <c r="G1381" t="s">
        <v>2128</v>
      </c>
      <c r="H1381" t="s">
        <v>2128</v>
      </c>
      <c r="I1381" t="s">
        <v>2142</v>
      </c>
      <c r="J1381" t="s">
        <v>2151</v>
      </c>
      <c r="K1381" t="s">
        <v>2160</v>
      </c>
      <c r="L1381" s="3">
        <v>2</v>
      </c>
      <c r="M1381" s="2">
        <v>8641.5400000000009</v>
      </c>
      <c r="N1381" s="5">
        <v>0</v>
      </c>
      <c r="O1381" s="2">
        <v>17283.080000000002</v>
      </c>
      <c r="P1381" s="2">
        <v>2295.4899999999998</v>
      </c>
      <c r="Q1381" t="s">
        <v>2169</v>
      </c>
    </row>
    <row r="1382" spans="1:17">
      <c r="A1382" t="s">
        <v>1397</v>
      </c>
      <c r="B1382" s="1">
        <v>45996</v>
      </c>
      <c r="C1382" t="s">
        <v>1754</v>
      </c>
      <c r="D1382" t="s">
        <v>2052</v>
      </c>
      <c r="E1382" t="s">
        <v>2115</v>
      </c>
      <c r="F1382" t="s">
        <v>2116</v>
      </c>
      <c r="G1382" t="s">
        <v>2127</v>
      </c>
      <c r="H1382" t="s">
        <v>2140</v>
      </c>
      <c r="I1382" t="s">
        <v>2142</v>
      </c>
      <c r="J1382" t="s">
        <v>2145</v>
      </c>
      <c r="K1382" t="s">
        <v>2153</v>
      </c>
      <c r="L1382" s="3">
        <v>4</v>
      </c>
      <c r="M1382" s="2">
        <v>11800.35</v>
      </c>
      <c r="N1382" s="5">
        <v>0.05</v>
      </c>
      <c r="O1382" s="2">
        <v>44841.33</v>
      </c>
      <c r="P1382" s="2">
        <v>10582.92</v>
      </c>
      <c r="Q1382" t="s">
        <v>2168</v>
      </c>
    </row>
    <row r="1383" spans="1:17">
      <c r="A1383" t="s">
        <v>1398</v>
      </c>
      <c r="B1383" s="1">
        <v>45997</v>
      </c>
      <c r="C1383" t="s">
        <v>1756</v>
      </c>
      <c r="D1383" t="s">
        <v>2054</v>
      </c>
      <c r="E1383" t="s">
        <v>2114</v>
      </c>
      <c r="F1383" t="s">
        <v>2117</v>
      </c>
      <c r="G1383" t="s">
        <v>2125</v>
      </c>
      <c r="H1383" t="s">
        <v>2136</v>
      </c>
      <c r="I1383" t="s">
        <v>2142</v>
      </c>
      <c r="J1383" t="s">
        <v>2151</v>
      </c>
      <c r="K1383" t="s">
        <v>2160</v>
      </c>
      <c r="L1383" s="3">
        <v>2</v>
      </c>
      <c r="M1383" s="2">
        <v>8205.16</v>
      </c>
      <c r="N1383" s="5">
        <v>0.2</v>
      </c>
      <c r="O1383" s="2">
        <v>13128.26</v>
      </c>
      <c r="P1383" s="2">
        <v>1177.23</v>
      </c>
      <c r="Q1383" t="s">
        <v>2169</v>
      </c>
    </row>
    <row r="1384" spans="1:17">
      <c r="A1384" t="s">
        <v>1399</v>
      </c>
      <c r="B1384" s="1">
        <v>45997</v>
      </c>
      <c r="C1384" t="s">
        <v>1630</v>
      </c>
      <c r="D1384" t="s">
        <v>1928</v>
      </c>
      <c r="E1384" t="s">
        <v>2114</v>
      </c>
      <c r="F1384" t="s">
        <v>2119</v>
      </c>
      <c r="G1384" t="s">
        <v>2130</v>
      </c>
      <c r="H1384" t="s">
        <v>2141</v>
      </c>
      <c r="I1384" t="s">
        <v>2143</v>
      </c>
      <c r="J1384" t="s">
        <v>2146</v>
      </c>
      <c r="K1384" t="s">
        <v>2164</v>
      </c>
      <c r="L1384" s="3">
        <v>1</v>
      </c>
      <c r="M1384" s="2">
        <v>18413.48</v>
      </c>
      <c r="N1384" s="5">
        <v>0.05</v>
      </c>
      <c r="O1384" s="2">
        <v>17492.810000000001</v>
      </c>
      <c r="P1384" s="2">
        <v>3482.53</v>
      </c>
      <c r="Q1384" t="s">
        <v>2167</v>
      </c>
    </row>
    <row r="1385" spans="1:17">
      <c r="A1385" t="s">
        <v>1400</v>
      </c>
      <c r="B1385" s="1">
        <v>45997</v>
      </c>
      <c r="C1385" t="s">
        <v>1712</v>
      </c>
      <c r="D1385" t="s">
        <v>2010</v>
      </c>
      <c r="E1385" t="s">
        <v>2114</v>
      </c>
      <c r="F1385" t="s">
        <v>2116</v>
      </c>
      <c r="G1385" t="s">
        <v>2120</v>
      </c>
      <c r="H1385" t="s">
        <v>2131</v>
      </c>
      <c r="I1385" t="s">
        <v>2143</v>
      </c>
      <c r="J1385" t="s">
        <v>2149</v>
      </c>
      <c r="K1385" t="s">
        <v>2163</v>
      </c>
      <c r="L1385" s="3">
        <v>2</v>
      </c>
      <c r="M1385" s="2">
        <v>64597.21</v>
      </c>
      <c r="N1385" s="5">
        <v>0.1</v>
      </c>
      <c r="O1385" s="2">
        <v>116274.98</v>
      </c>
      <c r="P1385" s="2">
        <v>18680.11</v>
      </c>
      <c r="Q1385" t="s">
        <v>2168</v>
      </c>
    </row>
    <row r="1386" spans="1:17">
      <c r="A1386" t="s">
        <v>1401</v>
      </c>
      <c r="B1386" s="1">
        <v>45997</v>
      </c>
      <c r="C1386" t="s">
        <v>1693</v>
      </c>
      <c r="D1386" t="s">
        <v>1991</v>
      </c>
      <c r="E1386" t="s">
        <v>2114</v>
      </c>
      <c r="F1386" t="s">
        <v>2117</v>
      </c>
      <c r="G1386" t="s">
        <v>2123</v>
      </c>
      <c r="H1386" t="s">
        <v>2134</v>
      </c>
      <c r="I1386" t="s">
        <v>2144</v>
      </c>
      <c r="J1386" t="s">
        <v>2150</v>
      </c>
      <c r="K1386" t="s">
        <v>2159</v>
      </c>
      <c r="L1386" s="3">
        <v>1</v>
      </c>
      <c r="M1386" s="2">
        <v>447.95</v>
      </c>
      <c r="N1386" s="5">
        <v>0.1</v>
      </c>
      <c r="O1386" s="2">
        <v>403.15</v>
      </c>
      <c r="P1386" s="2">
        <v>114.37</v>
      </c>
      <c r="Q1386" t="s">
        <v>2167</v>
      </c>
    </row>
    <row r="1387" spans="1:17">
      <c r="A1387" t="s">
        <v>1402</v>
      </c>
      <c r="B1387" s="1">
        <v>45998</v>
      </c>
      <c r="C1387" t="s">
        <v>1574</v>
      </c>
      <c r="D1387" t="s">
        <v>1872</v>
      </c>
      <c r="E1387" t="s">
        <v>2115</v>
      </c>
      <c r="F1387" t="s">
        <v>2117</v>
      </c>
      <c r="G1387" t="s">
        <v>2121</v>
      </c>
      <c r="H1387" t="s">
        <v>2132</v>
      </c>
      <c r="I1387" t="s">
        <v>2142</v>
      </c>
      <c r="J1387" t="s">
        <v>2147</v>
      </c>
      <c r="K1387" t="s">
        <v>2157</v>
      </c>
      <c r="L1387" s="3">
        <v>2</v>
      </c>
      <c r="M1387" s="2">
        <v>14445.56</v>
      </c>
      <c r="N1387" s="5">
        <v>0.15</v>
      </c>
      <c r="O1387" s="2">
        <v>24557.45</v>
      </c>
      <c r="P1387" s="2">
        <v>5827.87</v>
      </c>
      <c r="Q1387" t="s">
        <v>2167</v>
      </c>
    </row>
    <row r="1388" spans="1:17">
      <c r="A1388" t="s">
        <v>1403</v>
      </c>
      <c r="B1388" s="1">
        <v>45998</v>
      </c>
      <c r="C1388" t="s">
        <v>1565</v>
      </c>
      <c r="D1388" t="s">
        <v>1863</v>
      </c>
      <c r="E1388" t="s">
        <v>2114</v>
      </c>
      <c r="F1388" t="s">
        <v>2117</v>
      </c>
      <c r="G1388" t="s">
        <v>2121</v>
      </c>
      <c r="H1388" t="s">
        <v>2132</v>
      </c>
      <c r="I1388" t="s">
        <v>2143</v>
      </c>
      <c r="J1388" t="s">
        <v>2148</v>
      </c>
      <c r="K1388" t="s">
        <v>2161</v>
      </c>
      <c r="L1388" s="3">
        <v>1</v>
      </c>
      <c r="M1388" s="2">
        <v>1710.67</v>
      </c>
      <c r="N1388" s="5">
        <v>0</v>
      </c>
      <c r="O1388" s="2">
        <v>1710.67</v>
      </c>
      <c r="P1388" s="2">
        <v>264.3</v>
      </c>
      <c r="Q1388" t="s">
        <v>2167</v>
      </c>
    </row>
    <row r="1389" spans="1:17">
      <c r="A1389" t="s">
        <v>1404</v>
      </c>
      <c r="B1389" s="1">
        <v>45998</v>
      </c>
      <c r="C1389" t="s">
        <v>1697</v>
      </c>
      <c r="D1389" t="s">
        <v>1995</v>
      </c>
      <c r="E1389" t="s">
        <v>2114</v>
      </c>
      <c r="F1389" t="s">
        <v>2119</v>
      </c>
      <c r="G1389" t="s">
        <v>2124</v>
      </c>
      <c r="H1389" t="s">
        <v>2135</v>
      </c>
      <c r="I1389" t="s">
        <v>2142</v>
      </c>
      <c r="J1389" t="s">
        <v>2145</v>
      </c>
      <c r="K1389" t="s">
        <v>2153</v>
      </c>
      <c r="L1389" s="3">
        <v>2</v>
      </c>
      <c r="M1389" s="2">
        <v>12510.65</v>
      </c>
      <c r="N1389" s="5">
        <v>0.05</v>
      </c>
      <c r="O1389" s="2">
        <v>23770.23</v>
      </c>
      <c r="P1389" s="2">
        <v>3937.29</v>
      </c>
      <c r="Q1389" t="s">
        <v>2168</v>
      </c>
    </row>
    <row r="1390" spans="1:17">
      <c r="A1390" t="s">
        <v>1405</v>
      </c>
      <c r="B1390" s="1">
        <v>45998</v>
      </c>
      <c r="C1390" t="s">
        <v>1637</v>
      </c>
      <c r="D1390" t="s">
        <v>1935</v>
      </c>
      <c r="E1390" t="s">
        <v>2114</v>
      </c>
      <c r="F1390" t="s">
        <v>2118</v>
      </c>
      <c r="G1390" t="s">
        <v>2122</v>
      </c>
      <c r="H1390" t="s">
        <v>2133</v>
      </c>
      <c r="I1390" t="s">
        <v>2143</v>
      </c>
      <c r="J1390" t="s">
        <v>2146</v>
      </c>
      <c r="K1390" t="s">
        <v>2154</v>
      </c>
      <c r="L1390" s="3">
        <v>1</v>
      </c>
      <c r="M1390" s="2">
        <v>41695.949999999997</v>
      </c>
      <c r="N1390" s="5">
        <v>0.15</v>
      </c>
      <c r="O1390" s="2">
        <v>35441.56</v>
      </c>
      <c r="P1390" s="2">
        <v>5325.97</v>
      </c>
      <c r="Q1390" t="s">
        <v>2168</v>
      </c>
    </row>
    <row r="1391" spans="1:17">
      <c r="A1391" t="s">
        <v>1406</v>
      </c>
      <c r="B1391" s="1">
        <v>45998</v>
      </c>
      <c r="C1391" t="s">
        <v>1680</v>
      </c>
      <c r="D1391" t="s">
        <v>1978</v>
      </c>
      <c r="E1391" t="s">
        <v>2114</v>
      </c>
      <c r="F1391" t="s">
        <v>2117</v>
      </c>
      <c r="G1391" t="s">
        <v>2121</v>
      </c>
      <c r="H1391" t="s">
        <v>2132</v>
      </c>
      <c r="I1391" t="s">
        <v>2142</v>
      </c>
      <c r="J1391" t="s">
        <v>2151</v>
      </c>
      <c r="K1391" t="s">
        <v>2160</v>
      </c>
      <c r="L1391" s="3">
        <v>1</v>
      </c>
      <c r="M1391" s="2">
        <v>8673.98</v>
      </c>
      <c r="N1391" s="5">
        <v>0.05</v>
      </c>
      <c r="O1391" s="2">
        <v>8240.2800000000007</v>
      </c>
      <c r="P1391" s="2">
        <v>1144.4000000000001</v>
      </c>
      <c r="Q1391" t="s">
        <v>2167</v>
      </c>
    </row>
    <row r="1392" spans="1:17">
      <c r="A1392" t="s">
        <v>1407</v>
      </c>
      <c r="B1392" s="1">
        <v>45998</v>
      </c>
      <c r="C1392" t="s">
        <v>1627</v>
      </c>
      <c r="D1392" t="s">
        <v>1925</v>
      </c>
      <c r="E1392" t="s">
        <v>2114</v>
      </c>
      <c r="F1392" t="s">
        <v>2117</v>
      </c>
      <c r="G1392" t="s">
        <v>2125</v>
      </c>
      <c r="H1392" t="s">
        <v>2136</v>
      </c>
      <c r="I1392" t="s">
        <v>2143</v>
      </c>
      <c r="J1392" t="s">
        <v>2149</v>
      </c>
      <c r="K1392" t="s">
        <v>2163</v>
      </c>
      <c r="L1392" s="3">
        <v>4</v>
      </c>
      <c r="M1392" s="2">
        <v>65926.460000000006</v>
      </c>
      <c r="N1392" s="5">
        <v>0</v>
      </c>
      <c r="O1392" s="2">
        <v>263705.84000000003</v>
      </c>
      <c r="P1392" s="2">
        <v>31253.86</v>
      </c>
      <c r="Q1392" t="s">
        <v>2169</v>
      </c>
    </row>
    <row r="1393" spans="1:17">
      <c r="A1393" t="s">
        <v>1408</v>
      </c>
      <c r="B1393" s="1">
        <v>45999</v>
      </c>
      <c r="C1393" t="s">
        <v>1711</v>
      </c>
      <c r="D1393" t="s">
        <v>2009</v>
      </c>
      <c r="E1393" t="s">
        <v>2114</v>
      </c>
      <c r="F1393" t="s">
        <v>2117</v>
      </c>
      <c r="G1393" t="s">
        <v>2125</v>
      </c>
      <c r="H1393" t="s">
        <v>2136</v>
      </c>
      <c r="I1393" t="s">
        <v>2143</v>
      </c>
      <c r="J1393" t="s">
        <v>2148</v>
      </c>
      <c r="K1393" t="s">
        <v>2161</v>
      </c>
      <c r="L1393" s="3">
        <v>4</v>
      </c>
      <c r="M1393" s="2">
        <v>1864.38</v>
      </c>
      <c r="N1393" s="5">
        <v>0.05</v>
      </c>
      <c r="O1393" s="2">
        <v>7084.64</v>
      </c>
      <c r="P1393" s="2">
        <v>749.85</v>
      </c>
      <c r="Q1393" t="s">
        <v>2168</v>
      </c>
    </row>
    <row r="1394" spans="1:17">
      <c r="A1394" t="s">
        <v>1409</v>
      </c>
      <c r="B1394" s="1">
        <v>45999</v>
      </c>
      <c r="C1394" t="s">
        <v>1795</v>
      </c>
      <c r="D1394" t="s">
        <v>2093</v>
      </c>
      <c r="E1394" t="s">
        <v>2114</v>
      </c>
      <c r="F1394" t="s">
        <v>2118</v>
      </c>
      <c r="G1394" t="s">
        <v>2122</v>
      </c>
      <c r="H1394" t="s">
        <v>2133</v>
      </c>
      <c r="I1394" t="s">
        <v>2144</v>
      </c>
      <c r="J1394" t="s">
        <v>2150</v>
      </c>
      <c r="K1394" t="s">
        <v>2159</v>
      </c>
      <c r="L1394" s="3">
        <v>2</v>
      </c>
      <c r="M1394" s="2">
        <v>433.19</v>
      </c>
      <c r="N1394" s="5">
        <v>0.05</v>
      </c>
      <c r="O1394" s="2">
        <v>823.06</v>
      </c>
      <c r="P1394" s="2">
        <v>187.42</v>
      </c>
      <c r="Q1394" t="s">
        <v>2168</v>
      </c>
    </row>
    <row r="1395" spans="1:17">
      <c r="A1395" t="s">
        <v>1410</v>
      </c>
      <c r="B1395" s="1">
        <v>46000</v>
      </c>
      <c r="C1395" t="s">
        <v>1743</v>
      </c>
      <c r="D1395" t="s">
        <v>2041</v>
      </c>
      <c r="E1395" t="s">
        <v>2114</v>
      </c>
      <c r="F1395" t="s">
        <v>2116</v>
      </c>
      <c r="G1395" t="s">
        <v>2120</v>
      </c>
      <c r="H1395" t="s">
        <v>2131</v>
      </c>
      <c r="I1395" t="s">
        <v>2143</v>
      </c>
      <c r="J1395" t="s">
        <v>2149</v>
      </c>
      <c r="K1395" t="s">
        <v>2158</v>
      </c>
      <c r="L1395" s="3">
        <v>1</v>
      </c>
      <c r="M1395" s="2">
        <v>46370.9</v>
      </c>
      <c r="N1395" s="5">
        <v>0.1</v>
      </c>
      <c r="O1395" s="2">
        <v>41733.81</v>
      </c>
      <c r="P1395" s="2">
        <v>4573.88</v>
      </c>
      <c r="Q1395" t="s">
        <v>2170</v>
      </c>
    </row>
    <row r="1396" spans="1:17">
      <c r="A1396" t="s">
        <v>1411</v>
      </c>
      <c r="B1396" s="1">
        <v>46000</v>
      </c>
      <c r="C1396" t="s">
        <v>1795</v>
      </c>
      <c r="D1396" t="s">
        <v>2093</v>
      </c>
      <c r="E1396" t="s">
        <v>2113</v>
      </c>
      <c r="F1396" t="s">
        <v>2116</v>
      </c>
      <c r="G1396" t="s">
        <v>2127</v>
      </c>
      <c r="H1396" t="s">
        <v>2138</v>
      </c>
      <c r="I1396" t="s">
        <v>2143</v>
      </c>
      <c r="J1396" t="s">
        <v>2149</v>
      </c>
      <c r="K1396" t="s">
        <v>2158</v>
      </c>
      <c r="L1396" s="3">
        <v>2</v>
      </c>
      <c r="M1396" s="2">
        <v>47676.36</v>
      </c>
      <c r="N1396" s="5">
        <v>0</v>
      </c>
      <c r="O1396" s="2">
        <v>95352.72</v>
      </c>
      <c r="P1396" s="2">
        <v>11037.19</v>
      </c>
      <c r="Q1396" t="s">
        <v>2167</v>
      </c>
    </row>
    <row r="1397" spans="1:17">
      <c r="A1397" t="s">
        <v>1412</v>
      </c>
      <c r="B1397" s="1">
        <v>46000</v>
      </c>
      <c r="C1397" t="s">
        <v>1544</v>
      </c>
      <c r="D1397" t="s">
        <v>1842</v>
      </c>
      <c r="E1397" t="s">
        <v>2114</v>
      </c>
      <c r="F1397" t="s">
        <v>2116</v>
      </c>
      <c r="G1397" t="s">
        <v>2127</v>
      </c>
      <c r="H1397" t="s">
        <v>2138</v>
      </c>
      <c r="I1397" t="s">
        <v>2142</v>
      </c>
      <c r="J1397" t="s">
        <v>2145</v>
      </c>
      <c r="K1397" t="s">
        <v>2165</v>
      </c>
      <c r="L1397" s="3">
        <v>1</v>
      </c>
      <c r="M1397" s="2">
        <v>6446.16</v>
      </c>
      <c r="N1397" s="5">
        <v>0.1</v>
      </c>
      <c r="O1397" s="2">
        <v>5801.54</v>
      </c>
      <c r="P1397" s="2">
        <v>1423.35</v>
      </c>
      <c r="Q1397" t="s">
        <v>2169</v>
      </c>
    </row>
    <row r="1398" spans="1:17">
      <c r="A1398" t="s">
        <v>1413</v>
      </c>
      <c r="B1398" s="1">
        <v>46000</v>
      </c>
      <c r="C1398" t="s">
        <v>1562</v>
      </c>
      <c r="D1398" t="s">
        <v>1860</v>
      </c>
      <c r="E1398" t="s">
        <v>2115</v>
      </c>
      <c r="F1398" t="s">
        <v>2118</v>
      </c>
      <c r="G1398" t="s">
        <v>2122</v>
      </c>
      <c r="H1398" t="s">
        <v>2133</v>
      </c>
      <c r="I1398" t="s">
        <v>2144</v>
      </c>
      <c r="J1398" t="s">
        <v>2150</v>
      </c>
      <c r="K1398" t="s">
        <v>2159</v>
      </c>
      <c r="L1398" s="3">
        <v>2</v>
      </c>
      <c r="M1398" s="2">
        <v>448.48</v>
      </c>
      <c r="N1398" s="5">
        <v>0.2</v>
      </c>
      <c r="O1398" s="2">
        <v>717.57</v>
      </c>
      <c r="P1398" s="2">
        <v>192.5</v>
      </c>
      <c r="Q1398" t="s">
        <v>2167</v>
      </c>
    </row>
    <row r="1399" spans="1:17">
      <c r="A1399" t="s">
        <v>1414</v>
      </c>
      <c r="B1399" s="1">
        <v>46000</v>
      </c>
      <c r="C1399" t="s">
        <v>1539</v>
      </c>
      <c r="D1399" t="s">
        <v>1837</v>
      </c>
      <c r="E1399" t="s">
        <v>2113</v>
      </c>
      <c r="F1399" t="s">
        <v>2116</v>
      </c>
      <c r="G1399" t="s">
        <v>2127</v>
      </c>
      <c r="H1399" t="s">
        <v>2140</v>
      </c>
      <c r="I1399" t="s">
        <v>2142</v>
      </c>
      <c r="J1399" t="s">
        <v>2147</v>
      </c>
      <c r="K1399" t="s">
        <v>2157</v>
      </c>
      <c r="L1399" s="3">
        <v>3</v>
      </c>
      <c r="M1399" s="2">
        <v>13813.57</v>
      </c>
      <c r="N1399" s="5">
        <v>0.15</v>
      </c>
      <c r="O1399" s="2">
        <v>35224.6</v>
      </c>
      <c r="P1399" s="2">
        <v>6582.86</v>
      </c>
      <c r="Q1399" t="s">
        <v>2169</v>
      </c>
    </row>
    <row r="1400" spans="1:17">
      <c r="A1400" t="s">
        <v>1415</v>
      </c>
      <c r="B1400" s="1">
        <v>46000</v>
      </c>
      <c r="C1400" t="s">
        <v>1675</v>
      </c>
      <c r="D1400" t="s">
        <v>1973</v>
      </c>
      <c r="E1400" t="s">
        <v>2113</v>
      </c>
      <c r="F1400" t="s">
        <v>2117</v>
      </c>
      <c r="G1400" t="s">
        <v>2121</v>
      </c>
      <c r="H1400" t="s">
        <v>2132</v>
      </c>
      <c r="I1400" t="s">
        <v>2142</v>
      </c>
      <c r="J1400" t="s">
        <v>2147</v>
      </c>
      <c r="K1400" t="s">
        <v>2157</v>
      </c>
      <c r="L1400" s="3">
        <v>4</v>
      </c>
      <c r="M1400" s="2">
        <v>13927.57</v>
      </c>
      <c r="N1400" s="5">
        <v>0.1</v>
      </c>
      <c r="O1400" s="2">
        <v>50139.25</v>
      </c>
      <c r="P1400" s="2">
        <v>10109.950000000001</v>
      </c>
      <c r="Q1400" t="s">
        <v>2170</v>
      </c>
    </row>
    <row r="1401" spans="1:17">
      <c r="A1401" t="s">
        <v>1416</v>
      </c>
      <c r="B1401" s="1">
        <v>46001</v>
      </c>
      <c r="C1401" t="s">
        <v>1803</v>
      </c>
      <c r="D1401" t="s">
        <v>2101</v>
      </c>
      <c r="E1401" t="s">
        <v>2113</v>
      </c>
      <c r="F1401" t="s">
        <v>2117</v>
      </c>
      <c r="G1401" t="s">
        <v>2121</v>
      </c>
      <c r="H1401" t="s">
        <v>2132</v>
      </c>
      <c r="I1401" t="s">
        <v>2142</v>
      </c>
      <c r="J1401" t="s">
        <v>2145</v>
      </c>
      <c r="K1401" t="s">
        <v>2165</v>
      </c>
      <c r="L1401" s="3">
        <v>1</v>
      </c>
      <c r="M1401" s="2">
        <v>6497.6</v>
      </c>
      <c r="N1401" s="5">
        <v>0.05</v>
      </c>
      <c r="O1401" s="2">
        <v>6172.72</v>
      </c>
      <c r="P1401" s="2">
        <v>1062.99</v>
      </c>
      <c r="Q1401" t="s">
        <v>2169</v>
      </c>
    </row>
    <row r="1402" spans="1:17">
      <c r="A1402" t="s">
        <v>1417</v>
      </c>
      <c r="B1402" s="1">
        <v>46001</v>
      </c>
      <c r="C1402" t="s">
        <v>1698</v>
      </c>
      <c r="D1402" t="s">
        <v>1996</v>
      </c>
      <c r="E1402" t="s">
        <v>2115</v>
      </c>
      <c r="F1402" t="s">
        <v>2118</v>
      </c>
      <c r="G1402" t="s">
        <v>2122</v>
      </c>
      <c r="H1402" t="s">
        <v>2133</v>
      </c>
      <c r="I1402" t="s">
        <v>2144</v>
      </c>
      <c r="J1402" t="s">
        <v>2150</v>
      </c>
      <c r="K1402" t="s">
        <v>2159</v>
      </c>
      <c r="L1402" s="3">
        <v>2</v>
      </c>
      <c r="M1402" s="2">
        <v>460.19</v>
      </c>
      <c r="N1402" s="5">
        <v>0</v>
      </c>
      <c r="O1402" s="2">
        <v>920.38</v>
      </c>
      <c r="P1402" s="2">
        <v>176.25</v>
      </c>
      <c r="Q1402" t="s">
        <v>2167</v>
      </c>
    </row>
    <row r="1403" spans="1:17">
      <c r="A1403" t="s">
        <v>1418</v>
      </c>
      <c r="B1403" s="1">
        <v>46001</v>
      </c>
      <c r="C1403" t="s">
        <v>1538</v>
      </c>
      <c r="D1403" t="s">
        <v>1836</v>
      </c>
      <c r="E1403" t="s">
        <v>2114</v>
      </c>
      <c r="F1403" t="s">
        <v>2119</v>
      </c>
      <c r="G1403" t="s">
        <v>2130</v>
      </c>
      <c r="H1403" t="s">
        <v>2141</v>
      </c>
      <c r="I1403" t="s">
        <v>2143</v>
      </c>
      <c r="J1403" t="s">
        <v>2148</v>
      </c>
      <c r="K1403" t="s">
        <v>2161</v>
      </c>
      <c r="L1403" s="3">
        <v>1</v>
      </c>
      <c r="M1403" s="2">
        <v>1727.4</v>
      </c>
      <c r="N1403" s="5">
        <v>0.05</v>
      </c>
      <c r="O1403" s="2">
        <v>1641.03</v>
      </c>
      <c r="P1403" s="2">
        <v>143.47</v>
      </c>
      <c r="Q1403" t="s">
        <v>2168</v>
      </c>
    </row>
    <row r="1404" spans="1:17">
      <c r="A1404" t="s">
        <v>1419</v>
      </c>
      <c r="B1404" s="1">
        <v>46001</v>
      </c>
      <c r="C1404" t="s">
        <v>1549</v>
      </c>
      <c r="D1404" t="s">
        <v>1847</v>
      </c>
      <c r="E1404" t="s">
        <v>2115</v>
      </c>
      <c r="F1404" t="s">
        <v>2118</v>
      </c>
      <c r="G1404" t="s">
        <v>2126</v>
      </c>
      <c r="H1404" t="s">
        <v>2137</v>
      </c>
      <c r="I1404" t="s">
        <v>2142</v>
      </c>
      <c r="J1404" t="s">
        <v>2145</v>
      </c>
      <c r="K1404" t="s">
        <v>2165</v>
      </c>
      <c r="L1404" s="3">
        <v>3</v>
      </c>
      <c r="M1404" s="2">
        <v>6557.56</v>
      </c>
      <c r="N1404" s="5">
        <v>0.05</v>
      </c>
      <c r="O1404" s="2">
        <v>18689.05</v>
      </c>
      <c r="P1404" s="2">
        <v>4880.09</v>
      </c>
      <c r="Q1404" t="s">
        <v>2168</v>
      </c>
    </row>
    <row r="1405" spans="1:17">
      <c r="A1405" t="s">
        <v>1420</v>
      </c>
      <c r="B1405" s="1">
        <v>46002</v>
      </c>
      <c r="C1405" t="s">
        <v>1713</v>
      </c>
      <c r="D1405" t="s">
        <v>2011</v>
      </c>
      <c r="E1405" t="s">
        <v>2114</v>
      </c>
      <c r="F1405" t="s">
        <v>2116</v>
      </c>
      <c r="G1405" t="s">
        <v>2120</v>
      </c>
      <c r="H1405" t="s">
        <v>2131</v>
      </c>
      <c r="I1405" t="s">
        <v>2143</v>
      </c>
      <c r="J1405" t="s">
        <v>2146</v>
      </c>
      <c r="K1405" t="s">
        <v>2154</v>
      </c>
      <c r="L1405" s="3">
        <v>2</v>
      </c>
      <c r="M1405" s="2">
        <v>41811.519999999997</v>
      </c>
      <c r="N1405" s="5">
        <v>0.15</v>
      </c>
      <c r="O1405" s="2">
        <v>71079.58</v>
      </c>
      <c r="P1405" s="2">
        <v>9075.34</v>
      </c>
      <c r="Q1405" t="s">
        <v>2170</v>
      </c>
    </row>
    <row r="1406" spans="1:17">
      <c r="A1406" t="s">
        <v>1421</v>
      </c>
      <c r="B1406" s="1">
        <v>46002</v>
      </c>
      <c r="C1406" t="s">
        <v>1704</v>
      </c>
      <c r="D1406" t="s">
        <v>2002</v>
      </c>
      <c r="E1406" t="s">
        <v>2115</v>
      </c>
      <c r="F1406" t="s">
        <v>2118</v>
      </c>
      <c r="G1406" t="s">
        <v>2122</v>
      </c>
      <c r="H1406" t="s">
        <v>2133</v>
      </c>
      <c r="I1406" t="s">
        <v>2142</v>
      </c>
      <c r="J1406" t="s">
        <v>2151</v>
      </c>
      <c r="K1406" t="s">
        <v>2160</v>
      </c>
      <c r="L1406" s="3">
        <v>4</v>
      </c>
      <c r="M1406" s="2">
        <v>8633.48</v>
      </c>
      <c r="N1406" s="5">
        <v>0.1</v>
      </c>
      <c r="O1406" s="2">
        <v>31080.53</v>
      </c>
      <c r="P1406" s="2">
        <v>7576</v>
      </c>
      <c r="Q1406" t="s">
        <v>2170</v>
      </c>
    </row>
    <row r="1407" spans="1:17">
      <c r="A1407" t="s">
        <v>1422</v>
      </c>
      <c r="B1407" s="1">
        <v>46002</v>
      </c>
      <c r="C1407" t="s">
        <v>1525</v>
      </c>
      <c r="D1407" t="s">
        <v>1823</v>
      </c>
      <c r="E1407" t="s">
        <v>2113</v>
      </c>
      <c r="F1407" t="s">
        <v>2116</v>
      </c>
      <c r="G1407" t="s">
        <v>2127</v>
      </c>
      <c r="H1407" t="s">
        <v>2138</v>
      </c>
      <c r="I1407" t="s">
        <v>2142</v>
      </c>
      <c r="J1407" t="s">
        <v>2145</v>
      </c>
      <c r="K1407" t="s">
        <v>2165</v>
      </c>
      <c r="L1407" s="3">
        <v>2</v>
      </c>
      <c r="M1407" s="2">
        <v>6433.45</v>
      </c>
      <c r="N1407" s="5">
        <v>0.05</v>
      </c>
      <c r="O1407" s="2">
        <v>12223.55</v>
      </c>
      <c r="P1407" s="2">
        <v>1891.2</v>
      </c>
      <c r="Q1407" t="s">
        <v>2168</v>
      </c>
    </row>
    <row r="1408" spans="1:17">
      <c r="A1408" t="s">
        <v>1423</v>
      </c>
      <c r="B1408" s="1">
        <v>46002</v>
      </c>
      <c r="C1408" t="s">
        <v>1727</v>
      </c>
      <c r="D1408" t="s">
        <v>2025</v>
      </c>
      <c r="E1408" t="s">
        <v>2114</v>
      </c>
      <c r="F1408" t="s">
        <v>2118</v>
      </c>
      <c r="G1408" t="s">
        <v>2122</v>
      </c>
      <c r="H1408" t="s">
        <v>2133</v>
      </c>
      <c r="I1408" t="s">
        <v>2143</v>
      </c>
      <c r="J1408" t="s">
        <v>2149</v>
      </c>
      <c r="K1408" t="s">
        <v>2158</v>
      </c>
      <c r="L1408" s="3">
        <v>4</v>
      </c>
      <c r="M1408" s="2">
        <v>49644.17</v>
      </c>
      <c r="N1408" s="5">
        <v>0.15</v>
      </c>
      <c r="O1408" s="2">
        <v>168790.18</v>
      </c>
      <c r="P1408" s="2">
        <v>15418.11</v>
      </c>
      <c r="Q1408" t="s">
        <v>2170</v>
      </c>
    </row>
    <row r="1409" spans="1:17">
      <c r="A1409" t="s">
        <v>1424</v>
      </c>
      <c r="B1409" s="1">
        <v>46002</v>
      </c>
      <c r="C1409" t="s">
        <v>1714</v>
      </c>
      <c r="D1409" t="s">
        <v>2012</v>
      </c>
      <c r="E1409" t="s">
        <v>2114</v>
      </c>
      <c r="F1409" t="s">
        <v>2117</v>
      </c>
      <c r="G1409" t="s">
        <v>2121</v>
      </c>
      <c r="H1409" t="s">
        <v>2132</v>
      </c>
      <c r="I1409" t="s">
        <v>2144</v>
      </c>
      <c r="J1409" t="s">
        <v>2150</v>
      </c>
      <c r="K1409" t="s">
        <v>2159</v>
      </c>
      <c r="L1409" s="3">
        <v>4</v>
      </c>
      <c r="M1409" s="2">
        <v>451.14</v>
      </c>
      <c r="N1409" s="5">
        <v>0.15</v>
      </c>
      <c r="O1409" s="2">
        <v>1533.88</v>
      </c>
      <c r="P1409" s="2">
        <v>368.4</v>
      </c>
      <c r="Q1409" t="s">
        <v>2170</v>
      </c>
    </row>
    <row r="1410" spans="1:17">
      <c r="A1410" t="s">
        <v>1425</v>
      </c>
      <c r="B1410" s="1">
        <v>46003</v>
      </c>
      <c r="C1410" t="s">
        <v>1550</v>
      </c>
      <c r="D1410" t="s">
        <v>1848</v>
      </c>
      <c r="E1410" t="s">
        <v>2114</v>
      </c>
      <c r="F1410" t="s">
        <v>2119</v>
      </c>
      <c r="G1410" t="s">
        <v>2130</v>
      </c>
      <c r="H1410" t="s">
        <v>2141</v>
      </c>
      <c r="I1410" t="s">
        <v>2142</v>
      </c>
      <c r="J1410" t="s">
        <v>2145</v>
      </c>
      <c r="K1410" t="s">
        <v>2165</v>
      </c>
      <c r="L1410" s="3">
        <v>4</v>
      </c>
      <c r="M1410" s="2">
        <v>6646.16</v>
      </c>
      <c r="N1410" s="5">
        <v>0.05</v>
      </c>
      <c r="O1410" s="2">
        <v>25255.41</v>
      </c>
      <c r="P1410" s="2">
        <v>6437.68</v>
      </c>
      <c r="Q1410" t="s">
        <v>2169</v>
      </c>
    </row>
    <row r="1411" spans="1:17">
      <c r="A1411" t="s">
        <v>1426</v>
      </c>
      <c r="B1411" s="1">
        <v>46003</v>
      </c>
      <c r="C1411" t="s">
        <v>1655</v>
      </c>
      <c r="D1411" t="s">
        <v>1953</v>
      </c>
      <c r="E1411" t="s">
        <v>2114</v>
      </c>
      <c r="F1411" t="s">
        <v>2117</v>
      </c>
      <c r="G1411" t="s">
        <v>2121</v>
      </c>
      <c r="H1411" t="s">
        <v>2132</v>
      </c>
      <c r="I1411" t="s">
        <v>2144</v>
      </c>
      <c r="J1411" t="s">
        <v>2152</v>
      </c>
      <c r="K1411" t="s">
        <v>2162</v>
      </c>
      <c r="L1411" s="3">
        <v>1</v>
      </c>
      <c r="M1411" s="2">
        <v>352.59</v>
      </c>
      <c r="N1411" s="5">
        <v>0</v>
      </c>
      <c r="O1411" s="2">
        <v>352.59</v>
      </c>
      <c r="P1411" s="2">
        <v>80.59</v>
      </c>
      <c r="Q1411" t="s">
        <v>2170</v>
      </c>
    </row>
    <row r="1412" spans="1:17">
      <c r="A1412" t="s">
        <v>1427</v>
      </c>
      <c r="B1412" s="1">
        <v>46003</v>
      </c>
      <c r="C1412" t="s">
        <v>1607</v>
      </c>
      <c r="D1412" t="s">
        <v>1905</v>
      </c>
      <c r="E1412" t="s">
        <v>2114</v>
      </c>
      <c r="F1412" t="s">
        <v>2117</v>
      </c>
      <c r="G1412" t="s">
        <v>2123</v>
      </c>
      <c r="H1412" t="s">
        <v>2134</v>
      </c>
      <c r="I1412" t="s">
        <v>2142</v>
      </c>
      <c r="J1412" t="s">
        <v>2151</v>
      </c>
      <c r="K1412" t="s">
        <v>2160</v>
      </c>
      <c r="L1412" s="3">
        <v>4</v>
      </c>
      <c r="M1412" s="2">
        <v>8533</v>
      </c>
      <c r="N1412" s="5">
        <v>0.05</v>
      </c>
      <c r="O1412" s="2">
        <v>32425.4</v>
      </c>
      <c r="P1412" s="2">
        <v>5814.46</v>
      </c>
      <c r="Q1412" t="s">
        <v>2169</v>
      </c>
    </row>
    <row r="1413" spans="1:17">
      <c r="A1413" t="s">
        <v>1428</v>
      </c>
      <c r="B1413" s="1">
        <v>46003</v>
      </c>
      <c r="C1413" t="s">
        <v>1748</v>
      </c>
      <c r="D1413" t="s">
        <v>2046</v>
      </c>
      <c r="E1413" t="s">
        <v>2115</v>
      </c>
      <c r="F1413" t="s">
        <v>2119</v>
      </c>
      <c r="G1413" t="s">
        <v>2124</v>
      </c>
      <c r="H1413" t="s">
        <v>2135</v>
      </c>
      <c r="I1413" t="s">
        <v>2143</v>
      </c>
      <c r="J1413" t="s">
        <v>2146</v>
      </c>
      <c r="K1413" t="s">
        <v>2164</v>
      </c>
      <c r="L1413" s="3">
        <v>1</v>
      </c>
      <c r="M1413" s="2">
        <v>17556.22</v>
      </c>
      <c r="N1413" s="5">
        <v>0.1</v>
      </c>
      <c r="O1413" s="2">
        <v>15800.6</v>
      </c>
      <c r="P1413" s="2">
        <v>1818.79</v>
      </c>
      <c r="Q1413" t="s">
        <v>2170</v>
      </c>
    </row>
    <row r="1414" spans="1:17">
      <c r="A1414" t="s">
        <v>1429</v>
      </c>
      <c r="B1414" s="1">
        <v>46003</v>
      </c>
      <c r="C1414" t="s">
        <v>1733</v>
      </c>
      <c r="D1414" t="s">
        <v>2031</v>
      </c>
      <c r="E1414" t="s">
        <v>2113</v>
      </c>
      <c r="F1414" t="s">
        <v>2117</v>
      </c>
      <c r="G1414" t="s">
        <v>2125</v>
      </c>
      <c r="H1414" t="s">
        <v>2136</v>
      </c>
      <c r="I1414" t="s">
        <v>2142</v>
      </c>
      <c r="J1414" t="s">
        <v>2145</v>
      </c>
      <c r="K1414" t="s">
        <v>2165</v>
      </c>
      <c r="L1414" s="3">
        <v>5</v>
      </c>
      <c r="M1414" s="2">
        <v>6776.94</v>
      </c>
      <c r="N1414" s="5">
        <v>0.15</v>
      </c>
      <c r="O1414" s="2">
        <v>28801.99</v>
      </c>
      <c r="P1414" s="2">
        <v>6037.8</v>
      </c>
      <c r="Q1414" t="s">
        <v>2169</v>
      </c>
    </row>
    <row r="1415" spans="1:17">
      <c r="A1415" t="s">
        <v>1430</v>
      </c>
      <c r="B1415" s="1">
        <v>46003</v>
      </c>
      <c r="C1415" t="s">
        <v>1706</v>
      </c>
      <c r="D1415" t="s">
        <v>2004</v>
      </c>
      <c r="E1415" t="s">
        <v>2114</v>
      </c>
      <c r="F1415" t="s">
        <v>2117</v>
      </c>
      <c r="G1415" t="s">
        <v>2125</v>
      </c>
      <c r="H1415" t="s">
        <v>2136</v>
      </c>
      <c r="I1415" t="s">
        <v>2143</v>
      </c>
      <c r="J1415" t="s">
        <v>2146</v>
      </c>
      <c r="K1415" t="s">
        <v>2164</v>
      </c>
      <c r="L1415" s="3">
        <v>2</v>
      </c>
      <c r="M1415" s="2">
        <v>18109.46</v>
      </c>
      <c r="N1415" s="5">
        <v>0.05</v>
      </c>
      <c r="O1415" s="2">
        <v>34407.97</v>
      </c>
      <c r="P1415" s="2">
        <v>3327.24</v>
      </c>
      <c r="Q1415" t="s">
        <v>2170</v>
      </c>
    </row>
    <row r="1416" spans="1:17">
      <c r="A1416" t="s">
        <v>1431</v>
      </c>
      <c r="B1416" s="1">
        <v>46004</v>
      </c>
      <c r="C1416" t="s">
        <v>1651</v>
      </c>
      <c r="D1416" t="s">
        <v>1949</v>
      </c>
      <c r="E1416" t="s">
        <v>2114</v>
      </c>
      <c r="F1416" t="s">
        <v>2118</v>
      </c>
      <c r="G1416" t="s">
        <v>2128</v>
      </c>
      <c r="H1416" t="s">
        <v>2128</v>
      </c>
      <c r="I1416" t="s">
        <v>2143</v>
      </c>
      <c r="J1416" t="s">
        <v>2148</v>
      </c>
      <c r="K1416" t="s">
        <v>2156</v>
      </c>
      <c r="L1416" s="3">
        <v>2</v>
      </c>
      <c r="M1416" s="2">
        <v>1250.3800000000001</v>
      </c>
      <c r="N1416" s="5">
        <v>0.1</v>
      </c>
      <c r="O1416" s="2">
        <v>2250.6799999999998</v>
      </c>
      <c r="P1416" s="2">
        <v>247.16</v>
      </c>
      <c r="Q1416" t="s">
        <v>2167</v>
      </c>
    </row>
    <row r="1417" spans="1:17">
      <c r="A1417" t="s">
        <v>1432</v>
      </c>
      <c r="B1417" s="1">
        <v>46004</v>
      </c>
      <c r="C1417" t="s">
        <v>1593</v>
      </c>
      <c r="D1417" t="s">
        <v>1891</v>
      </c>
      <c r="E1417" t="s">
        <v>2114</v>
      </c>
      <c r="F1417" t="s">
        <v>2119</v>
      </c>
      <c r="G1417" t="s">
        <v>2129</v>
      </c>
      <c r="H1417" t="s">
        <v>2139</v>
      </c>
      <c r="I1417" t="s">
        <v>2144</v>
      </c>
      <c r="J1417" t="s">
        <v>2150</v>
      </c>
      <c r="K1417" t="s">
        <v>2159</v>
      </c>
      <c r="L1417" s="3">
        <v>1</v>
      </c>
      <c r="M1417" s="2">
        <v>466.65</v>
      </c>
      <c r="N1417" s="5">
        <v>0</v>
      </c>
      <c r="O1417" s="2">
        <v>466.65</v>
      </c>
      <c r="P1417" s="2">
        <v>133.31</v>
      </c>
      <c r="Q1417" t="s">
        <v>2170</v>
      </c>
    </row>
    <row r="1418" spans="1:17">
      <c r="A1418" t="s">
        <v>1433</v>
      </c>
      <c r="B1418" s="1">
        <v>46004</v>
      </c>
      <c r="C1418" t="s">
        <v>1714</v>
      </c>
      <c r="D1418" t="s">
        <v>2012</v>
      </c>
      <c r="E1418" t="s">
        <v>2114</v>
      </c>
      <c r="F1418" t="s">
        <v>2118</v>
      </c>
      <c r="G1418" t="s">
        <v>2128</v>
      </c>
      <c r="H1418" t="s">
        <v>2128</v>
      </c>
      <c r="I1418" t="s">
        <v>2142</v>
      </c>
      <c r="J1418" t="s">
        <v>2151</v>
      </c>
      <c r="K1418" t="s">
        <v>2160</v>
      </c>
      <c r="L1418" s="3">
        <v>4</v>
      </c>
      <c r="M1418" s="2">
        <v>8693.66</v>
      </c>
      <c r="N1418" s="5">
        <v>0.05</v>
      </c>
      <c r="O1418" s="2">
        <v>33035.910000000003</v>
      </c>
      <c r="P1418" s="2">
        <v>4023.23</v>
      </c>
      <c r="Q1418" t="s">
        <v>2167</v>
      </c>
    </row>
    <row r="1419" spans="1:17">
      <c r="A1419" t="s">
        <v>1434</v>
      </c>
      <c r="B1419" s="1">
        <v>46005</v>
      </c>
      <c r="C1419" t="s">
        <v>1616</v>
      </c>
      <c r="D1419" t="s">
        <v>1914</v>
      </c>
      <c r="E1419" t="s">
        <v>2113</v>
      </c>
      <c r="F1419" t="s">
        <v>2117</v>
      </c>
      <c r="G1419" t="s">
        <v>2121</v>
      </c>
      <c r="H1419" t="s">
        <v>2132</v>
      </c>
      <c r="I1419" t="s">
        <v>2142</v>
      </c>
      <c r="J1419" t="s">
        <v>2145</v>
      </c>
      <c r="K1419" t="s">
        <v>2165</v>
      </c>
      <c r="L1419" s="3">
        <v>1</v>
      </c>
      <c r="M1419" s="2">
        <v>6692.04</v>
      </c>
      <c r="N1419" s="5">
        <v>0.1</v>
      </c>
      <c r="O1419" s="2">
        <v>6022.84</v>
      </c>
      <c r="P1419" s="2">
        <v>1520.66</v>
      </c>
      <c r="Q1419" t="s">
        <v>2168</v>
      </c>
    </row>
    <row r="1420" spans="1:17">
      <c r="A1420" t="s">
        <v>1435</v>
      </c>
      <c r="B1420" s="1">
        <v>46005</v>
      </c>
      <c r="C1420" t="s">
        <v>1736</v>
      </c>
      <c r="D1420" t="s">
        <v>2034</v>
      </c>
      <c r="E1420" t="s">
        <v>2115</v>
      </c>
      <c r="F1420" t="s">
        <v>2119</v>
      </c>
      <c r="G1420" t="s">
        <v>2124</v>
      </c>
      <c r="H1420" t="s">
        <v>2135</v>
      </c>
      <c r="I1420" t="s">
        <v>2143</v>
      </c>
      <c r="J1420" t="s">
        <v>2149</v>
      </c>
      <c r="K1420" t="s">
        <v>2158</v>
      </c>
      <c r="L1420" s="3">
        <v>2</v>
      </c>
      <c r="M1420" s="2">
        <v>47030.59</v>
      </c>
      <c r="N1420" s="5">
        <v>0.1</v>
      </c>
      <c r="O1420" s="2">
        <v>84655.06</v>
      </c>
      <c r="P1420" s="2">
        <v>10336.299999999999</v>
      </c>
      <c r="Q1420" t="s">
        <v>2167</v>
      </c>
    </row>
    <row r="1421" spans="1:17">
      <c r="A1421" t="s">
        <v>1436</v>
      </c>
      <c r="B1421" s="1">
        <v>46006</v>
      </c>
      <c r="C1421" t="s">
        <v>1806</v>
      </c>
      <c r="D1421" t="s">
        <v>2104</v>
      </c>
      <c r="E1421" t="s">
        <v>2114</v>
      </c>
      <c r="F1421" t="s">
        <v>2116</v>
      </c>
      <c r="G1421" t="s">
        <v>2127</v>
      </c>
      <c r="H1421" t="s">
        <v>2138</v>
      </c>
      <c r="I1421" t="s">
        <v>2143</v>
      </c>
      <c r="J1421" t="s">
        <v>2149</v>
      </c>
      <c r="K1421" t="s">
        <v>2158</v>
      </c>
      <c r="L1421" s="3">
        <v>3</v>
      </c>
      <c r="M1421" s="2">
        <v>49685.79</v>
      </c>
      <c r="N1421" s="5">
        <v>0</v>
      </c>
      <c r="O1421" s="2">
        <v>149057.37</v>
      </c>
      <c r="P1421" s="2">
        <v>22257.32</v>
      </c>
      <c r="Q1421" t="s">
        <v>2168</v>
      </c>
    </row>
    <row r="1422" spans="1:17">
      <c r="A1422" t="s">
        <v>1437</v>
      </c>
      <c r="B1422" s="1">
        <v>46006</v>
      </c>
      <c r="C1422" t="s">
        <v>1527</v>
      </c>
      <c r="D1422" t="s">
        <v>1825</v>
      </c>
      <c r="E1422" t="s">
        <v>2114</v>
      </c>
      <c r="F1422" t="s">
        <v>2119</v>
      </c>
      <c r="G1422" t="s">
        <v>2124</v>
      </c>
      <c r="H1422" t="s">
        <v>2135</v>
      </c>
      <c r="I1422" t="s">
        <v>2142</v>
      </c>
      <c r="J1422" t="s">
        <v>2151</v>
      </c>
      <c r="K1422" t="s">
        <v>2160</v>
      </c>
      <c r="L1422" s="3">
        <v>3</v>
      </c>
      <c r="M1422" s="2">
        <v>8145.32</v>
      </c>
      <c r="N1422" s="5">
        <v>0.1</v>
      </c>
      <c r="O1422" s="2">
        <v>21992.36</v>
      </c>
      <c r="P1422" s="2">
        <v>4946.29</v>
      </c>
      <c r="Q1422" t="s">
        <v>2170</v>
      </c>
    </row>
    <row r="1423" spans="1:17">
      <c r="A1423" t="s">
        <v>1438</v>
      </c>
      <c r="B1423" s="1">
        <v>46006</v>
      </c>
      <c r="C1423" t="s">
        <v>1527</v>
      </c>
      <c r="D1423" t="s">
        <v>1825</v>
      </c>
      <c r="E1423" t="s">
        <v>2115</v>
      </c>
      <c r="F1423" t="s">
        <v>2116</v>
      </c>
      <c r="G1423" t="s">
        <v>2120</v>
      </c>
      <c r="H1423" t="s">
        <v>2131</v>
      </c>
      <c r="I1423" t="s">
        <v>2143</v>
      </c>
      <c r="J1423" t="s">
        <v>2149</v>
      </c>
      <c r="K1423" t="s">
        <v>2163</v>
      </c>
      <c r="L1423" s="3">
        <v>2</v>
      </c>
      <c r="M1423" s="2">
        <v>64342.36</v>
      </c>
      <c r="N1423" s="5">
        <v>0.2</v>
      </c>
      <c r="O1423" s="2">
        <v>102947.78</v>
      </c>
      <c r="P1423" s="2">
        <v>8636.42</v>
      </c>
      <c r="Q1423" t="s">
        <v>2168</v>
      </c>
    </row>
    <row r="1424" spans="1:17">
      <c r="A1424" t="s">
        <v>1439</v>
      </c>
      <c r="B1424" s="1">
        <v>46006</v>
      </c>
      <c r="C1424" t="s">
        <v>1565</v>
      </c>
      <c r="D1424" t="s">
        <v>1863</v>
      </c>
      <c r="E1424" t="s">
        <v>2113</v>
      </c>
      <c r="F1424" t="s">
        <v>2118</v>
      </c>
      <c r="G1424" t="s">
        <v>2128</v>
      </c>
      <c r="H1424" t="s">
        <v>2128</v>
      </c>
      <c r="I1424" t="s">
        <v>2142</v>
      </c>
      <c r="J1424" t="s">
        <v>2147</v>
      </c>
      <c r="K1424" t="s">
        <v>2157</v>
      </c>
      <c r="L1424" s="3">
        <v>1</v>
      </c>
      <c r="M1424" s="2">
        <v>14192.57</v>
      </c>
      <c r="N1424" s="5">
        <v>0.05</v>
      </c>
      <c r="O1424" s="2">
        <v>13482.94</v>
      </c>
      <c r="P1424" s="2">
        <v>3378.26</v>
      </c>
      <c r="Q1424" t="s">
        <v>2170</v>
      </c>
    </row>
    <row r="1425" spans="1:17">
      <c r="A1425" t="s">
        <v>1440</v>
      </c>
      <c r="B1425" s="1">
        <v>46006</v>
      </c>
      <c r="C1425" t="s">
        <v>1625</v>
      </c>
      <c r="D1425" t="s">
        <v>1923</v>
      </c>
      <c r="E1425" t="s">
        <v>2114</v>
      </c>
      <c r="F1425" t="s">
        <v>2119</v>
      </c>
      <c r="G1425" t="s">
        <v>2130</v>
      </c>
      <c r="H1425" t="s">
        <v>2141</v>
      </c>
      <c r="I1425" t="s">
        <v>2142</v>
      </c>
      <c r="J1425" t="s">
        <v>2145</v>
      </c>
      <c r="K1425" t="s">
        <v>2153</v>
      </c>
      <c r="L1425" s="3">
        <v>3</v>
      </c>
      <c r="M1425" s="2">
        <v>12414.85</v>
      </c>
      <c r="N1425" s="5">
        <v>0.15</v>
      </c>
      <c r="O1425" s="2">
        <v>31657.87</v>
      </c>
      <c r="P1425" s="2">
        <v>2758.41</v>
      </c>
      <c r="Q1425" t="s">
        <v>2167</v>
      </c>
    </row>
    <row r="1426" spans="1:17">
      <c r="A1426" t="s">
        <v>1441</v>
      </c>
      <c r="B1426" s="1">
        <v>46007</v>
      </c>
      <c r="C1426" t="s">
        <v>1720</v>
      </c>
      <c r="D1426" t="s">
        <v>2018</v>
      </c>
      <c r="E1426" t="s">
        <v>2113</v>
      </c>
      <c r="F1426" t="s">
        <v>2119</v>
      </c>
      <c r="G1426" t="s">
        <v>2124</v>
      </c>
      <c r="H1426" t="s">
        <v>2135</v>
      </c>
      <c r="I1426" t="s">
        <v>2143</v>
      </c>
      <c r="J1426" t="s">
        <v>2149</v>
      </c>
      <c r="K1426" t="s">
        <v>2163</v>
      </c>
      <c r="L1426" s="3">
        <v>1</v>
      </c>
      <c r="M1426" s="2">
        <v>62709.120000000003</v>
      </c>
      <c r="N1426" s="5">
        <v>0.15</v>
      </c>
      <c r="O1426" s="2">
        <v>53302.75</v>
      </c>
      <c r="P1426" s="2">
        <v>5418.21</v>
      </c>
      <c r="Q1426" t="s">
        <v>2168</v>
      </c>
    </row>
    <row r="1427" spans="1:17">
      <c r="A1427" t="s">
        <v>1442</v>
      </c>
      <c r="B1427" s="1">
        <v>46007</v>
      </c>
      <c r="C1427" t="s">
        <v>1734</v>
      </c>
      <c r="D1427" t="s">
        <v>2032</v>
      </c>
      <c r="E1427" t="s">
        <v>2114</v>
      </c>
      <c r="F1427" t="s">
        <v>2117</v>
      </c>
      <c r="G1427" t="s">
        <v>2125</v>
      </c>
      <c r="H1427" t="s">
        <v>2136</v>
      </c>
      <c r="I1427" t="s">
        <v>2142</v>
      </c>
      <c r="J1427" t="s">
        <v>2147</v>
      </c>
      <c r="K1427" t="s">
        <v>2157</v>
      </c>
      <c r="L1427" s="3">
        <v>3</v>
      </c>
      <c r="M1427" s="2">
        <v>14835.67</v>
      </c>
      <c r="N1427" s="5">
        <v>0.05</v>
      </c>
      <c r="O1427" s="2">
        <v>42281.66</v>
      </c>
      <c r="P1427" s="2">
        <v>10362.6</v>
      </c>
      <c r="Q1427" t="s">
        <v>2169</v>
      </c>
    </row>
    <row r="1428" spans="1:17">
      <c r="A1428" t="s">
        <v>1443</v>
      </c>
      <c r="B1428" s="1">
        <v>46007</v>
      </c>
      <c r="C1428" t="s">
        <v>1767</v>
      </c>
      <c r="D1428" t="s">
        <v>2065</v>
      </c>
      <c r="E1428" t="s">
        <v>2113</v>
      </c>
      <c r="F1428" t="s">
        <v>2117</v>
      </c>
      <c r="G1428" t="s">
        <v>2125</v>
      </c>
      <c r="H1428" t="s">
        <v>2136</v>
      </c>
      <c r="I1428" t="s">
        <v>2144</v>
      </c>
      <c r="J1428" t="s">
        <v>2152</v>
      </c>
      <c r="K1428" t="s">
        <v>2162</v>
      </c>
      <c r="L1428" s="3">
        <v>1</v>
      </c>
      <c r="M1428" s="2">
        <v>346.5</v>
      </c>
      <c r="N1428" s="5">
        <v>0.1</v>
      </c>
      <c r="O1428" s="2">
        <v>311.85000000000002</v>
      </c>
      <c r="P1428" s="2">
        <v>98.16</v>
      </c>
      <c r="Q1428" t="s">
        <v>2168</v>
      </c>
    </row>
    <row r="1429" spans="1:17">
      <c r="A1429" t="s">
        <v>1444</v>
      </c>
      <c r="B1429" s="1">
        <v>46007</v>
      </c>
      <c r="C1429" t="s">
        <v>1581</v>
      </c>
      <c r="D1429" t="s">
        <v>1879</v>
      </c>
      <c r="E1429" t="s">
        <v>2114</v>
      </c>
      <c r="F1429" t="s">
        <v>2117</v>
      </c>
      <c r="G1429" t="s">
        <v>2121</v>
      </c>
      <c r="H1429" t="s">
        <v>2132</v>
      </c>
      <c r="I1429" t="s">
        <v>2142</v>
      </c>
      <c r="J1429" t="s">
        <v>2147</v>
      </c>
      <c r="K1429" t="s">
        <v>2157</v>
      </c>
      <c r="L1429" s="3">
        <v>3</v>
      </c>
      <c r="M1429" s="2">
        <v>14043.53</v>
      </c>
      <c r="N1429" s="5">
        <v>0.1</v>
      </c>
      <c r="O1429" s="2">
        <v>37917.53</v>
      </c>
      <c r="P1429" s="2">
        <v>5133.9399999999996</v>
      </c>
      <c r="Q1429" t="s">
        <v>2169</v>
      </c>
    </row>
    <row r="1430" spans="1:17">
      <c r="A1430" t="s">
        <v>1445</v>
      </c>
      <c r="B1430" s="1">
        <v>46008</v>
      </c>
      <c r="C1430" t="s">
        <v>1569</v>
      </c>
      <c r="D1430" t="s">
        <v>1867</v>
      </c>
      <c r="E1430" t="s">
        <v>2113</v>
      </c>
      <c r="F1430" t="s">
        <v>2119</v>
      </c>
      <c r="G1430" t="s">
        <v>2130</v>
      </c>
      <c r="H1430" t="s">
        <v>2141</v>
      </c>
      <c r="I1430" t="s">
        <v>2142</v>
      </c>
      <c r="J1430" t="s">
        <v>2145</v>
      </c>
      <c r="K1430" t="s">
        <v>2153</v>
      </c>
      <c r="L1430" s="3">
        <v>1</v>
      </c>
      <c r="M1430" s="2">
        <v>11901.41</v>
      </c>
      <c r="N1430" s="5">
        <v>0.15</v>
      </c>
      <c r="O1430" s="2">
        <v>10116.200000000001</v>
      </c>
      <c r="P1430" s="2">
        <v>1959.94</v>
      </c>
      <c r="Q1430" t="s">
        <v>2170</v>
      </c>
    </row>
    <row r="1431" spans="1:17">
      <c r="A1431" t="s">
        <v>1446</v>
      </c>
      <c r="B1431" s="1">
        <v>46008</v>
      </c>
      <c r="C1431" t="s">
        <v>1623</v>
      </c>
      <c r="D1431" t="s">
        <v>1921</v>
      </c>
      <c r="E1431" t="s">
        <v>2114</v>
      </c>
      <c r="F1431" t="s">
        <v>2118</v>
      </c>
      <c r="G1431" t="s">
        <v>2128</v>
      </c>
      <c r="H1431" t="s">
        <v>2128</v>
      </c>
      <c r="I1431" t="s">
        <v>2143</v>
      </c>
      <c r="J1431" t="s">
        <v>2146</v>
      </c>
      <c r="K1431" t="s">
        <v>2154</v>
      </c>
      <c r="L1431" s="3">
        <v>1</v>
      </c>
      <c r="M1431" s="2">
        <v>42686.8</v>
      </c>
      <c r="N1431" s="5">
        <v>0</v>
      </c>
      <c r="O1431" s="2">
        <v>42686.8</v>
      </c>
      <c r="P1431" s="2">
        <v>5872.32</v>
      </c>
      <c r="Q1431" t="s">
        <v>2169</v>
      </c>
    </row>
    <row r="1432" spans="1:17">
      <c r="A1432" t="s">
        <v>1447</v>
      </c>
      <c r="B1432" s="1">
        <v>46008</v>
      </c>
      <c r="C1432" t="s">
        <v>1787</v>
      </c>
      <c r="D1432" t="s">
        <v>2085</v>
      </c>
      <c r="E1432" t="s">
        <v>2113</v>
      </c>
      <c r="F1432" t="s">
        <v>2118</v>
      </c>
      <c r="G1432" t="s">
        <v>2126</v>
      </c>
      <c r="H1432" t="s">
        <v>2137</v>
      </c>
      <c r="I1432" t="s">
        <v>2144</v>
      </c>
      <c r="J1432" t="s">
        <v>2150</v>
      </c>
      <c r="K1432" t="s">
        <v>2159</v>
      </c>
      <c r="L1432" s="3">
        <v>1</v>
      </c>
      <c r="M1432" s="2">
        <v>442.6</v>
      </c>
      <c r="N1432" s="5">
        <v>0.2</v>
      </c>
      <c r="O1432" s="2">
        <v>354.08</v>
      </c>
      <c r="P1432" s="2">
        <v>52.71</v>
      </c>
      <c r="Q1432" t="s">
        <v>2169</v>
      </c>
    </row>
    <row r="1433" spans="1:17">
      <c r="A1433" t="s">
        <v>1448</v>
      </c>
      <c r="B1433" s="1">
        <v>46009</v>
      </c>
      <c r="C1433" t="s">
        <v>1730</v>
      </c>
      <c r="D1433" t="s">
        <v>2028</v>
      </c>
      <c r="E1433" t="s">
        <v>2114</v>
      </c>
      <c r="F1433" t="s">
        <v>2117</v>
      </c>
      <c r="G1433" t="s">
        <v>2121</v>
      </c>
      <c r="H1433" t="s">
        <v>2132</v>
      </c>
      <c r="I1433" t="s">
        <v>2144</v>
      </c>
      <c r="J1433" t="s">
        <v>2152</v>
      </c>
      <c r="K1433" t="s">
        <v>2162</v>
      </c>
      <c r="L1433" s="3">
        <v>1</v>
      </c>
      <c r="M1433" s="2">
        <v>352.26</v>
      </c>
      <c r="N1433" s="5">
        <v>0.05</v>
      </c>
      <c r="O1433" s="2">
        <v>334.65</v>
      </c>
      <c r="P1433" s="2">
        <v>51.47</v>
      </c>
      <c r="Q1433" t="s">
        <v>2168</v>
      </c>
    </row>
    <row r="1434" spans="1:17">
      <c r="A1434" t="s">
        <v>1449</v>
      </c>
      <c r="B1434" s="1">
        <v>46009</v>
      </c>
      <c r="C1434" t="s">
        <v>1737</v>
      </c>
      <c r="D1434" t="s">
        <v>2035</v>
      </c>
      <c r="E1434" t="s">
        <v>2114</v>
      </c>
      <c r="F1434" t="s">
        <v>2117</v>
      </c>
      <c r="G1434" t="s">
        <v>2123</v>
      </c>
      <c r="H1434" t="s">
        <v>2134</v>
      </c>
      <c r="I1434" t="s">
        <v>2143</v>
      </c>
      <c r="J1434" t="s">
        <v>2146</v>
      </c>
      <c r="K1434" t="s">
        <v>2154</v>
      </c>
      <c r="L1434" s="3">
        <v>4</v>
      </c>
      <c r="M1434" s="2">
        <v>40653.89</v>
      </c>
      <c r="N1434" s="5">
        <v>0.05</v>
      </c>
      <c r="O1434" s="2">
        <v>154484.78</v>
      </c>
      <c r="P1434" s="2">
        <v>26364.02</v>
      </c>
      <c r="Q1434" t="s">
        <v>2170</v>
      </c>
    </row>
    <row r="1435" spans="1:17">
      <c r="A1435" t="s">
        <v>1450</v>
      </c>
      <c r="B1435" s="1">
        <v>46009</v>
      </c>
      <c r="C1435" t="s">
        <v>1798</v>
      </c>
      <c r="D1435" t="s">
        <v>2096</v>
      </c>
      <c r="E1435" t="s">
        <v>2114</v>
      </c>
      <c r="F1435" t="s">
        <v>2116</v>
      </c>
      <c r="G1435" t="s">
        <v>2127</v>
      </c>
      <c r="H1435" t="s">
        <v>2138</v>
      </c>
      <c r="I1435" t="s">
        <v>2142</v>
      </c>
      <c r="J1435" t="s">
        <v>2151</v>
      </c>
      <c r="K1435" t="s">
        <v>2160</v>
      </c>
      <c r="L1435" s="3">
        <v>2</v>
      </c>
      <c r="M1435" s="2">
        <v>8218.1299999999992</v>
      </c>
      <c r="N1435" s="5">
        <v>0.15</v>
      </c>
      <c r="O1435" s="2">
        <v>13970.82</v>
      </c>
      <c r="P1435" s="2">
        <v>2789.9</v>
      </c>
      <c r="Q1435" t="s">
        <v>2167</v>
      </c>
    </row>
    <row r="1436" spans="1:17">
      <c r="A1436" t="s">
        <v>1451</v>
      </c>
      <c r="B1436" s="1">
        <v>46009</v>
      </c>
      <c r="C1436" t="s">
        <v>1739</v>
      </c>
      <c r="D1436" t="s">
        <v>2037</v>
      </c>
      <c r="E1436" t="s">
        <v>2113</v>
      </c>
      <c r="F1436" t="s">
        <v>2119</v>
      </c>
      <c r="G1436" t="s">
        <v>2130</v>
      </c>
      <c r="H1436" t="s">
        <v>2141</v>
      </c>
      <c r="I1436" t="s">
        <v>2143</v>
      </c>
      <c r="J1436" t="s">
        <v>2148</v>
      </c>
      <c r="K1436" t="s">
        <v>2161</v>
      </c>
      <c r="L1436" s="3">
        <v>2</v>
      </c>
      <c r="M1436" s="2">
        <v>1754.78</v>
      </c>
      <c r="N1436" s="5">
        <v>0.05</v>
      </c>
      <c r="O1436" s="2">
        <v>3334.08</v>
      </c>
      <c r="P1436" s="2">
        <v>677.35</v>
      </c>
      <c r="Q1436" t="s">
        <v>2167</v>
      </c>
    </row>
    <row r="1437" spans="1:17">
      <c r="A1437" t="s">
        <v>1452</v>
      </c>
      <c r="B1437" s="1">
        <v>46009</v>
      </c>
      <c r="C1437" t="s">
        <v>1804</v>
      </c>
      <c r="D1437" t="s">
        <v>2102</v>
      </c>
      <c r="E1437" t="s">
        <v>2113</v>
      </c>
      <c r="F1437" t="s">
        <v>2117</v>
      </c>
      <c r="G1437" t="s">
        <v>2123</v>
      </c>
      <c r="H1437" t="s">
        <v>2134</v>
      </c>
      <c r="I1437" t="s">
        <v>2142</v>
      </c>
      <c r="J1437" t="s">
        <v>2145</v>
      </c>
      <c r="K1437" t="s">
        <v>2153</v>
      </c>
      <c r="L1437" s="3">
        <v>1</v>
      </c>
      <c r="M1437" s="2">
        <v>11914.98</v>
      </c>
      <c r="N1437" s="5">
        <v>0.05</v>
      </c>
      <c r="O1437" s="2">
        <v>11319.23</v>
      </c>
      <c r="P1437" s="2">
        <v>1422.33</v>
      </c>
      <c r="Q1437" t="s">
        <v>2170</v>
      </c>
    </row>
    <row r="1438" spans="1:17">
      <c r="A1438" t="s">
        <v>1453</v>
      </c>
      <c r="B1438" s="1">
        <v>46009</v>
      </c>
      <c r="C1438" t="s">
        <v>1601</v>
      </c>
      <c r="D1438" t="s">
        <v>1899</v>
      </c>
      <c r="E1438" t="s">
        <v>2114</v>
      </c>
      <c r="F1438" t="s">
        <v>2116</v>
      </c>
      <c r="G1438" t="s">
        <v>2127</v>
      </c>
      <c r="H1438" t="s">
        <v>2140</v>
      </c>
      <c r="I1438" t="s">
        <v>2143</v>
      </c>
      <c r="J1438" t="s">
        <v>2149</v>
      </c>
      <c r="K1438" t="s">
        <v>2163</v>
      </c>
      <c r="L1438" s="3">
        <v>4</v>
      </c>
      <c r="M1438" s="2">
        <v>62717.17</v>
      </c>
      <c r="N1438" s="5">
        <v>0.2</v>
      </c>
      <c r="O1438" s="2">
        <v>200694.94</v>
      </c>
      <c r="P1438" s="2">
        <v>15197.67</v>
      </c>
      <c r="Q1438" t="s">
        <v>2169</v>
      </c>
    </row>
    <row r="1439" spans="1:17">
      <c r="A1439" t="s">
        <v>1454</v>
      </c>
      <c r="B1439" s="1">
        <v>46009</v>
      </c>
      <c r="C1439" t="s">
        <v>1751</v>
      </c>
      <c r="D1439" t="s">
        <v>2049</v>
      </c>
      <c r="E1439" t="s">
        <v>2114</v>
      </c>
      <c r="F1439" t="s">
        <v>2116</v>
      </c>
      <c r="G1439" t="s">
        <v>2120</v>
      </c>
      <c r="H1439" t="s">
        <v>2131</v>
      </c>
      <c r="I1439" t="s">
        <v>2143</v>
      </c>
      <c r="J1439" t="s">
        <v>2148</v>
      </c>
      <c r="K1439" t="s">
        <v>2156</v>
      </c>
      <c r="L1439" s="3">
        <v>2</v>
      </c>
      <c r="M1439" s="2">
        <v>1205.28</v>
      </c>
      <c r="N1439" s="5">
        <v>0</v>
      </c>
      <c r="O1439" s="2">
        <v>2410.56</v>
      </c>
      <c r="P1439" s="2">
        <v>271</v>
      </c>
      <c r="Q1439" t="s">
        <v>2167</v>
      </c>
    </row>
    <row r="1440" spans="1:17">
      <c r="A1440" t="s">
        <v>1455</v>
      </c>
      <c r="B1440" s="1">
        <v>46010</v>
      </c>
      <c r="C1440" t="s">
        <v>1682</v>
      </c>
      <c r="D1440" t="s">
        <v>1980</v>
      </c>
      <c r="E1440" t="s">
        <v>2113</v>
      </c>
      <c r="F1440" t="s">
        <v>2116</v>
      </c>
      <c r="G1440" t="s">
        <v>2127</v>
      </c>
      <c r="H1440" t="s">
        <v>2138</v>
      </c>
      <c r="I1440" t="s">
        <v>2143</v>
      </c>
      <c r="J1440" t="s">
        <v>2146</v>
      </c>
      <c r="K1440" t="s">
        <v>2154</v>
      </c>
      <c r="L1440" s="3">
        <v>3</v>
      </c>
      <c r="M1440" s="2">
        <v>40335.14</v>
      </c>
      <c r="N1440" s="5">
        <v>0</v>
      </c>
      <c r="O1440" s="2">
        <v>121005.42</v>
      </c>
      <c r="P1440" s="2">
        <v>11858.79</v>
      </c>
      <c r="Q1440" t="s">
        <v>2168</v>
      </c>
    </row>
    <row r="1441" spans="1:17">
      <c r="A1441" t="s">
        <v>1456</v>
      </c>
      <c r="B1441" s="1">
        <v>46010</v>
      </c>
      <c r="C1441" t="s">
        <v>1635</v>
      </c>
      <c r="D1441" t="s">
        <v>1933</v>
      </c>
      <c r="E1441" t="s">
        <v>2114</v>
      </c>
      <c r="F1441" t="s">
        <v>2117</v>
      </c>
      <c r="G1441" t="s">
        <v>2121</v>
      </c>
      <c r="H1441" t="s">
        <v>2132</v>
      </c>
      <c r="I1441" t="s">
        <v>2143</v>
      </c>
      <c r="J1441" t="s">
        <v>2146</v>
      </c>
      <c r="K1441" t="s">
        <v>2154</v>
      </c>
      <c r="L1441" s="3">
        <v>2</v>
      </c>
      <c r="M1441" s="2">
        <v>43487.37</v>
      </c>
      <c r="N1441" s="5">
        <v>0.1</v>
      </c>
      <c r="O1441" s="2">
        <v>78277.27</v>
      </c>
      <c r="P1441" s="2">
        <v>4391.09</v>
      </c>
      <c r="Q1441" t="s">
        <v>2169</v>
      </c>
    </row>
    <row r="1442" spans="1:17">
      <c r="A1442" t="s">
        <v>1457</v>
      </c>
      <c r="B1442" s="1">
        <v>46010</v>
      </c>
      <c r="C1442" t="s">
        <v>1788</v>
      </c>
      <c r="D1442" t="s">
        <v>2086</v>
      </c>
      <c r="E1442" t="s">
        <v>2114</v>
      </c>
      <c r="F1442" t="s">
        <v>2116</v>
      </c>
      <c r="G1442" t="s">
        <v>2127</v>
      </c>
      <c r="H1442" t="s">
        <v>2138</v>
      </c>
      <c r="I1442" t="s">
        <v>2143</v>
      </c>
      <c r="J1442" t="s">
        <v>2148</v>
      </c>
      <c r="K1442" t="s">
        <v>2156</v>
      </c>
      <c r="L1442" s="3">
        <v>3</v>
      </c>
      <c r="M1442" s="2">
        <v>1229.94</v>
      </c>
      <c r="N1442" s="5">
        <v>0.15</v>
      </c>
      <c r="O1442" s="2">
        <v>3136.35</v>
      </c>
      <c r="P1442" s="2">
        <v>332.38</v>
      </c>
      <c r="Q1442" t="s">
        <v>2170</v>
      </c>
    </row>
    <row r="1443" spans="1:17">
      <c r="A1443" t="s">
        <v>1458</v>
      </c>
      <c r="B1443" s="1">
        <v>46010</v>
      </c>
      <c r="C1443" t="s">
        <v>1646</v>
      </c>
      <c r="D1443" t="s">
        <v>1944</v>
      </c>
      <c r="E1443" t="s">
        <v>2114</v>
      </c>
      <c r="F1443" t="s">
        <v>2117</v>
      </c>
      <c r="G1443" t="s">
        <v>2125</v>
      </c>
      <c r="H1443" t="s">
        <v>2136</v>
      </c>
      <c r="I1443" t="s">
        <v>2143</v>
      </c>
      <c r="J1443" t="s">
        <v>2146</v>
      </c>
      <c r="K1443" t="s">
        <v>2154</v>
      </c>
      <c r="L1443" s="3">
        <v>2</v>
      </c>
      <c r="M1443" s="2">
        <v>43567.67</v>
      </c>
      <c r="N1443" s="5">
        <v>0</v>
      </c>
      <c r="O1443" s="2">
        <v>87135.34</v>
      </c>
      <c r="P1443" s="2">
        <v>15570</v>
      </c>
      <c r="Q1443" t="s">
        <v>2169</v>
      </c>
    </row>
    <row r="1444" spans="1:17">
      <c r="A1444" t="s">
        <v>1459</v>
      </c>
      <c r="B1444" s="1">
        <v>46010</v>
      </c>
      <c r="C1444" t="s">
        <v>1762</v>
      </c>
      <c r="D1444" t="s">
        <v>2060</v>
      </c>
      <c r="E1444" t="s">
        <v>2113</v>
      </c>
      <c r="F1444" t="s">
        <v>2118</v>
      </c>
      <c r="G1444" t="s">
        <v>2128</v>
      </c>
      <c r="H1444" t="s">
        <v>2128</v>
      </c>
      <c r="I1444" t="s">
        <v>2143</v>
      </c>
      <c r="J1444" t="s">
        <v>2148</v>
      </c>
      <c r="K1444" t="s">
        <v>2161</v>
      </c>
      <c r="L1444" s="3">
        <v>1</v>
      </c>
      <c r="M1444" s="2">
        <v>1841.21</v>
      </c>
      <c r="N1444" s="5">
        <v>0.05</v>
      </c>
      <c r="O1444" s="2">
        <v>1749.15</v>
      </c>
      <c r="P1444" s="2">
        <v>319.56</v>
      </c>
      <c r="Q1444" t="s">
        <v>2167</v>
      </c>
    </row>
    <row r="1445" spans="1:17">
      <c r="A1445" t="s">
        <v>1460</v>
      </c>
      <c r="B1445" s="1">
        <v>46010</v>
      </c>
      <c r="C1445" t="s">
        <v>1710</v>
      </c>
      <c r="D1445" t="s">
        <v>2008</v>
      </c>
      <c r="E1445" t="s">
        <v>2115</v>
      </c>
      <c r="F1445" t="s">
        <v>2119</v>
      </c>
      <c r="G1445" t="s">
        <v>2124</v>
      </c>
      <c r="H1445" t="s">
        <v>2135</v>
      </c>
      <c r="I1445" t="s">
        <v>2142</v>
      </c>
      <c r="J1445" t="s">
        <v>2151</v>
      </c>
      <c r="K1445" t="s">
        <v>2160</v>
      </c>
      <c r="L1445" s="3">
        <v>1</v>
      </c>
      <c r="M1445" s="2">
        <v>8350.68</v>
      </c>
      <c r="N1445" s="5">
        <v>0.05</v>
      </c>
      <c r="O1445" s="2">
        <v>7933.15</v>
      </c>
      <c r="P1445" s="2">
        <v>2039.2</v>
      </c>
      <c r="Q1445" t="s">
        <v>2167</v>
      </c>
    </row>
    <row r="1446" spans="1:17">
      <c r="A1446" t="s">
        <v>1461</v>
      </c>
      <c r="B1446" s="1">
        <v>46011</v>
      </c>
      <c r="C1446" t="s">
        <v>1567</v>
      </c>
      <c r="D1446" t="s">
        <v>1865</v>
      </c>
      <c r="E1446" t="s">
        <v>2114</v>
      </c>
      <c r="F1446" t="s">
        <v>2118</v>
      </c>
      <c r="G1446" t="s">
        <v>2128</v>
      </c>
      <c r="H1446" t="s">
        <v>2128</v>
      </c>
      <c r="I1446" t="s">
        <v>2142</v>
      </c>
      <c r="J1446" t="s">
        <v>2147</v>
      </c>
      <c r="K1446" t="s">
        <v>2157</v>
      </c>
      <c r="L1446" s="3">
        <v>2</v>
      </c>
      <c r="M1446" s="2">
        <v>14954.73</v>
      </c>
      <c r="N1446" s="5">
        <v>0.15</v>
      </c>
      <c r="O1446" s="2">
        <v>25423.040000000001</v>
      </c>
      <c r="P1446" s="2">
        <v>5340.43</v>
      </c>
      <c r="Q1446" t="s">
        <v>2169</v>
      </c>
    </row>
    <row r="1447" spans="1:17">
      <c r="A1447" t="s">
        <v>1462</v>
      </c>
      <c r="B1447" s="1">
        <v>46011</v>
      </c>
      <c r="C1447" t="s">
        <v>1583</v>
      </c>
      <c r="D1447" t="s">
        <v>1881</v>
      </c>
      <c r="E1447" t="s">
        <v>2115</v>
      </c>
      <c r="F1447" t="s">
        <v>2117</v>
      </c>
      <c r="G1447" t="s">
        <v>2121</v>
      </c>
      <c r="H1447" t="s">
        <v>2132</v>
      </c>
      <c r="I1447" t="s">
        <v>2144</v>
      </c>
      <c r="J1447" t="s">
        <v>2150</v>
      </c>
      <c r="K1447" t="s">
        <v>2159</v>
      </c>
      <c r="L1447" s="3">
        <v>3</v>
      </c>
      <c r="M1447" s="2">
        <v>440.01</v>
      </c>
      <c r="N1447" s="5">
        <v>0.15</v>
      </c>
      <c r="O1447" s="2">
        <v>1122.03</v>
      </c>
      <c r="P1447" s="2">
        <v>157.97999999999999</v>
      </c>
      <c r="Q1447" t="s">
        <v>2168</v>
      </c>
    </row>
    <row r="1448" spans="1:17">
      <c r="A1448" t="s">
        <v>1463</v>
      </c>
      <c r="B1448" s="1">
        <v>46012</v>
      </c>
      <c r="C1448" t="s">
        <v>1598</v>
      </c>
      <c r="D1448" t="s">
        <v>1896</v>
      </c>
      <c r="E1448" t="s">
        <v>2113</v>
      </c>
      <c r="F1448" t="s">
        <v>2119</v>
      </c>
      <c r="G1448" t="s">
        <v>2129</v>
      </c>
      <c r="H1448" t="s">
        <v>2139</v>
      </c>
      <c r="I1448" t="s">
        <v>2143</v>
      </c>
      <c r="J1448" t="s">
        <v>2146</v>
      </c>
      <c r="K1448" t="s">
        <v>2154</v>
      </c>
      <c r="L1448" s="3">
        <v>1</v>
      </c>
      <c r="M1448" s="2">
        <v>40937.25</v>
      </c>
      <c r="N1448" s="5">
        <v>0.05</v>
      </c>
      <c r="O1448" s="2">
        <v>38890.39</v>
      </c>
      <c r="P1448" s="2">
        <v>6908.97</v>
      </c>
      <c r="Q1448" t="s">
        <v>2170</v>
      </c>
    </row>
    <row r="1449" spans="1:17">
      <c r="A1449" t="s">
        <v>1464</v>
      </c>
      <c r="B1449" s="1">
        <v>46012</v>
      </c>
      <c r="C1449" t="s">
        <v>1676</v>
      </c>
      <c r="D1449" t="s">
        <v>1974</v>
      </c>
      <c r="E1449" t="s">
        <v>2114</v>
      </c>
      <c r="F1449" t="s">
        <v>2119</v>
      </c>
      <c r="G1449" t="s">
        <v>2124</v>
      </c>
      <c r="H1449" t="s">
        <v>2135</v>
      </c>
      <c r="I1449" t="s">
        <v>2144</v>
      </c>
      <c r="J1449" t="s">
        <v>2152</v>
      </c>
      <c r="K1449" t="s">
        <v>2166</v>
      </c>
      <c r="L1449" s="3">
        <v>3</v>
      </c>
      <c r="M1449" s="2">
        <v>610.14</v>
      </c>
      <c r="N1449" s="5">
        <v>0.1</v>
      </c>
      <c r="O1449" s="2">
        <v>1647.38</v>
      </c>
      <c r="P1449" s="2">
        <v>507.21</v>
      </c>
      <c r="Q1449" t="s">
        <v>2170</v>
      </c>
    </row>
    <row r="1450" spans="1:17">
      <c r="A1450" t="s">
        <v>1465</v>
      </c>
      <c r="B1450" s="1">
        <v>46012</v>
      </c>
      <c r="C1450" t="s">
        <v>1558</v>
      </c>
      <c r="D1450" t="s">
        <v>1856</v>
      </c>
      <c r="E1450" t="s">
        <v>2113</v>
      </c>
      <c r="F1450" t="s">
        <v>2117</v>
      </c>
      <c r="G1450" t="s">
        <v>2125</v>
      </c>
      <c r="H1450" t="s">
        <v>2136</v>
      </c>
      <c r="I1450" t="s">
        <v>2143</v>
      </c>
      <c r="J1450" t="s">
        <v>2146</v>
      </c>
      <c r="K1450" t="s">
        <v>2164</v>
      </c>
      <c r="L1450" s="3">
        <v>2</v>
      </c>
      <c r="M1450" s="2">
        <v>17980.8</v>
      </c>
      <c r="N1450" s="5">
        <v>0</v>
      </c>
      <c r="O1450" s="2">
        <v>35961.599999999999</v>
      </c>
      <c r="P1450" s="2">
        <v>6971.81</v>
      </c>
      <c r="Q1450" t="s">
        <v>2170</v>
      </c>
    </row>
    <row r="1451" spans="1:17">
      <c r="A1451" t="s">
        <v>1466</v>
      </c>
      <c r="B1451" s="1">
        <v>46012</v>
      </c>
      <c r="C1451" t="s">
        <v>1642</v>
      </c>
      <c r="D1451" t="s">
        <v>1940</v>
      </c>
      <c r="E1451" t="s">
        <v>2113</v>
      </c>
      <c r="F1451" t="s">
        <v>2118</v>
      </c>
      <c r="G1451" t="s">
        <v>2126</v>
      </c>
      <c r="H1451" t="s">
        <v>2137</v>
      </c>
      <c r="I1451" t="s">
        <v>2143</v>
      </c>
      <c r="J1451" t="s">
        <v>2146</v>
      </c>
      <c r="K1451" t="s">
        <v>2154</v>
      </c>
      <c r="L1451" s="3">
        <v>4</v>
      </c>
      <c r="M1451" s="2">
        <v>42548.67</v>
      </c>
      <c r="N1451" s="5">
        <v>0.05</v>
      </c>
      <c r="O1451" s="2">
        <v>161684.95000000001</v>
      </c>
      <c r="P1451" s="2">
        <v>20978.29</v>
      </c>
      <c r="Q1451" t="s">
        <v>2167</v>
      </c>
    </row>
    <row r="1452" spans="1:17">
      <c r="A1452" t="s">
        <v>1467</v>
      </c>
      <c r="B1452" s="1">
        <v>46013</v>
      </c>
      <c r="C1452" t="s">
        <v>1539</v>
      </c>
      <c r="D1452" t="s">
        <v>1837</v>
      </c>
      <c r="E1452" t="s">
        <v>2114</v>
      </c>
      <c r="F1452" t="s">
        <v>2118</v>
      </c>
      <c r="G1452" t="s">
        <v>2122</v>
      </c>
      <c r="H1452" t="s">
        <v>2133</v>
      </c>
      <c r="I1452" t="s">
        <v>2144</v>
      </c>
      <c r="J1452" t="s">
        <v>2152</v>
      </c>
      <c r="K1452" t="s">
        <v>2166</v>
      </c>
      <c r="L1452" s="3">
        <v>2</v>
      </c>
      <c r="M1452" s="2">
        <v>619.52</v>
      </c>
      <c r="N1452" s="5">
        <v>0</v>
      </c>
      <c r="O1452" s="2">
        <v>1239.04</v>
      </c>
      <c r="P1452" s="2">
        <v>217.07</v>
      </c>
      <c r="Q1452" t="s">
        <v>2170</v>
      </c>
    </row>
    <row r="1453" spans="1:17">
      <c r="A1453" t="s">
        <v>1468</v>
      </c>
      <c r="B1453" s="1">
        <v>46013</v>
      </c>
      <c r="C1453" t="s">
        <v>1764</v>
      </c>
      <c r="D1453" t="s">
        <v>2062</v>
      </c>
      <c r="E1453" t="s">
        <v>2114</v>
      </c>
      <c r="F1453" t="s">
        <v>2116</v>
      </c>
      <c r="G1453" t="s">
        <v>2127</v>
      </c>
      <c r="H1453" t="s">
        <v>2140</v>
      </c>
      <c r="I1453" t="s">
        <v>2142</v>
      </c>
      <c r="J1453" t="s">
        <v>2151</v>
      </c>
      <c r="K1453" t="s">
        <v>2160</v>
      </c>
      <c r="L1453" s="3">
        <v>2</v>
      </c>
      <c r="M1453" s="2">
        <v>8472.7900000000009</v>
      </c>
      <c r="N1453" s="5">
        <v>0.1</v>
      </c>
      <c r="O1453" s="2">
        <v>15251.02</v>
      </c>
      <c r="P1453" s="2">
        <v>1740.58</v>
      </c>
      <c r="Q1453" t="s">
        <v>2170</v>
      </c>
    </row>
    <row r="1454" spans="1:17">
      <c r="A1454" t="s">
        <v>1469</v>
      </c>
      <c r="B1454" s="1">
        <v>46013</v>
      </c>
      <c r="C1454" t="s">
        <v>1735</v>
      </c>
      <c r="D1454" t="s">
        <v>2033</v>
      </c>
      <c r="E1454" t="s">
        <v>2114</v>
      </c>
      <c r="F1454" t="s">
        <v>2119</v>
      </c>
      <c r="G1454" t="s">
        <v>2124</v>
      </c>
      <c r="H1454" t="s">
        <v>2135</v>
      </c>
      <c r="I1454" t="s">
        <v>2142</v>
      </c>
      <c r="J1454" t="s">
        <v>2151</v>
      </c>
      <c r="K1454" t="s">
        <v>2160</v>
      </c>
      <c r="L1454" s="3">
        <v>2</v>
      </c>
      <c r="M1454" s="2">
        <v>8760.84</v>
      </c>
      <c r="N1454" s="5">
        <v>0.15</v>
      </c>
      <c r="O1454" s="2">
        <v>14893.43</v>
      </c>
      <c r="P1454" s="2">
        <v>2902.22</v>
      </c>
      <c r="Q1454" t="s">
        <v>2168</v>
      </c>
    </row>
    <row r="1455" spans="1:17">
      <c r="A1455" t="s">
        <v>1470</v>
      </c>
      <c r="B1455" s="1">
        <v>46013</v>
      </c>
      <c r="C1455" t="s">
        <v>1814</v>
      </c>
      <c r="D1455" t="s">
        <v>2112</v>
      </c>
      <c r="E1455" t="s">
        <v>2115</v>
      </c>
      <c r="F1455" t="s">
        <v>2119</v>
      </c>
      <c r="G1455" t="s">
        <v>2129</v>
      </c>
      <c r="H1455" t="s">
        <v>2139</v>
      </c>
      <c r="I1455" t="s">
        <v>2143</v>
      </c>
      <c r="J1455" t="s">
        <v>2148</v>
      </c>
      <c r="K1455" t="s">
        <v>2156</v>
      </c>
      <c r="L1455" s="3">
        <v>1</v>
      </c>
      <c r="M1455" s="2">
        <v>1196.97</v>
      </c>
      <c r="N1455" s="5">
        <v>0.1</v>
      </c>
      <c r="O1455" s="2">
        <v>1077.27</v>
      </c>
      <c r="P1455" s="2">
        <v>92.33</v>
      </c>
      <c r="Q1455" t="s">
        <v>2170</v>
      </c>
    </row>
    <row r="1456" spans="1:17">
      <c r="A1456" t="s">
        <v>1471</v>
      </c>
      <c r="B1456" s="1">
        <v>46013</v>
      </c>
      <c r="C1456" t="s">
        <v>1744</v>
      </c>
      <c r="D1456" t="s">
        <v>2042</v>
      </c>
      <c r="E1456" t="s">
        <v>2115</v>
      </c>
      <c r="F1456" t="s">
        <v>2118</v>
      </c>
      <c r="G1456" t="s">
        <v>2128</v>
      </c>
      <c r="H1456" t="s">
        <v>2128</v>
      </c>
      <c r="I1456" t="s">
        <v>2143</v>
      </c>
      <c r="J1456" t="s">
        <v>2146</v>
      </c>
      <c r="K1456" t="s">
        <v>2164</v>
      </c>
      <c r="L1456" s="3">
        <v>1</v>
      </c>
      <c r="M1456" s="2">
        <v>18067.439999999999</v>
      </c>
      <c r="N1456" s="5">
        <v>0</v>
      </c>
      <c r="O1456" s="2">
        <v>18067.439999999999</v>
      </c>
      <c r="P1456" s="2">
        <v>1806.09</v>
      </c>
      <c r="Q1456" t="s">
        <v>2169</v>
      </c>
    </row>
    <row r="1457" spans="1:17">
      <c r="A1457" t="s">
        <v>1472</v>
      </c>
      <c r="B1457" s="1">
        <v>46013</v>
      </c>
      <c r="C1457" t="s">
        <v>1651</v>
      </c>
      <c r="D1457" t="s">
        <v>1949</v>
      </c>
      <c r="E1457" t="s">
        <v>2114</v>
      </c>
      <c r="F1457" t="s">
        <v>2116</v>
      </c>
      <c r="G1457" t="s">
        <v>2127</v>
      </c>
      <c r="H1457" t="s">
        <v>2138</v>
      </c>
      <c r="I1457" t="s">
        <v>2143</v>
      </c>
      <c r="J1457" t="s">
        <v>2146</v>
      </c>
      <c r="K1457" t="s">
        <v>2164</v>
      </c>
      <c r="L1457" s="3">
        <v>1</v>
      </c>
      <c r="M1457" s="2">
        <v>17133.099999999999</v>
      </c>
      <c r="N1457" s="5">
        <v>0.05</v>
      </c>
      <c r="O1457" s="2">
        <v>16276.44</v>
      </c>
      <c r="P1457" s="2">
        <v>3280.19</v>
      </c>
      <c r="Q1457" t="s">
        <v>2167</v>
      </c>
    </row>
    <row r="1458" spans="1:17">
      <c r="A1458" t="s">
        <v>1473</v>
      </c>
      <c r="B1458" s="1">
        <v>46013</v>
      </c>
      <c r="C1458" t="s">
        <v>1613</v>
      </c>
      <c r="D1458" t="s">
        <v>1911</v>
      </c>
      <c r="E1458" t="s">
        <v>2114</v>
      </c>
      <c r="F1458" t="s">
        <v>2118</v>
      </c>
      <c r="G1458" t="s">
        <v>2126</v>
      </c>
      <c r="H1458" t="s">
        <v>2137</v>
      </c>
      <c r="I1458" t="s">
        <v>2143</v>
      </c>
      <c r="J1458" t="s">
        <v>2149</v>
      </c>
      <c r="K1458" t="s">
        <v>2163</v>
      </c>
      <c r="L1458" s="3">
        <v>2</v>
      </c>
      <c r="M1458" s="2">
        <v>66793.100000000006</v>
      </c>
      <c r="N1458" s="5">
        <v>0.15</v>
      </c>
      <c r="O1458" s="2">
        <v>113548.27</v>
      </c>
      <c r="P1458" s="2">
        <v>4924.8100000000004</v>
      </c>
      <c r="Q1458" t="s">
        <v>2170</v>
      </c>
    </row>
    <row r="1459" spans="1:17">
      <c r="A1459" t="s">
        <v>1474</v>
      </c>
      <c r="B1459" s="1">
        <v>46013</v>
      </c>
      <c r="C1459" t="s">
        <v>1663</v>
      </c>
      <c r="D1459" t="s">
        <v>1961</v>
      </c>
      <c r="E1459" t="s">
        <v>2113</v>
      </c>
      <c r="F1459" t="s">
        <v>2117</v>
      </c>
      <c r="G1459" t="s">
        <v>2125</v>
      </c>
      <c r="H1459" t="s">
        <v>2136</v>
      </c>
      <c r="I1459" t="s">
        <v>2144</v>
      </c>
      <c r="J1459" t="s">
        <v>2147</v>
      </c>
      <c r="K1459" t="s">
        <v>2155</v>
      </c>
      <c r="L1459" s="3">
        <v>5</v>
      </c>
      <c r="M1459" s="2">
        <v>739.7</v>
      </c>
      <c r="N1459" s="5">
        <v>0.1</v>
      </c>
      <c r="O1459" s="2">
        <v>3328.65</v>
      </c>
      <c r="P1459" s="2">
        <v>1041.9000000000001</v>
      </c>
      <c r="Q1459" t="s">
        <v>2168</v>
      </c>
    </row>
    <row r="1460" spans="1:17">
      <c r="A1460" t="s">
        <v>1475</v>
      </c>
      <c r="B1460" s="1">
        <v>46013</v>
      </c>
      <c r="C1460" t="s">
        <v>1601</v>
      </c>
      <c r="D1460" t="s">
        <v>1899</v>
      </c>
      <c r="E1460" t="s">
        <v>2115</v>
      </c>
      <c r="F1460" t="s">
        <v>2118</v>
      </c>
      <c r="G1460" t="s">
        <v>2128</v>
      </c>
      <c r="H1460" t="s">
        <v>2128</v>
      </c>
      <c r="I1460" t="s">
        <v>2142</v>
      </c>
      <c r="J1460" t="s">
        <v>2147</v>
      </c>
      <c r="K1460" t="s">
        <v>2157</v>
      </c>
      <c r="L1460" s="3">
        <v>1</v>
      </c>
      <c r="M1460" s="2">
        <v>14405.46</v>
      </c>
      <c r="N1460" s="5">
        <v>0.1</v>
      </c>
      <c r="O1460" s="2">
        <v>12964.91</v>
      </c>
      <c r="P1460" s="2">
        <v>1807.74</v>
      </c>
      <c r="Q1460" t="s">
        <v>2167</v>
      </c>
    </row>
    <row r="1461" spans="1:17">
      <c r="A1461" t="s">
        <v>1476</v>
      </c>
      <c r="B1461" s="1">
        <v>46013</v>
      </c>
      <c r="C1461" t="s">
        <v>1541</v>
      </c>
      <c r="D1461" t="s">
        <v>1839</v>
      </c>
      <c r="E1461" t="s">
        <v>2113</v>
      </c>
      <c r="F1461" t="s">
        <v>2117</v>
      </c>
      <c r="G1461" t="s">
        <v>2125</v>
      </c>
      <c r="H1461" t="s">
        <v>2136</v>
      </c>
      <c r="I1461" t="s">
        <v>2143</v>
      </c>
      <c r="J1461" t="s">
        <v>2149</v>
      </c>
      <c r="K1461" t="s">
        <v>2158</v>
      </c>
      <c r="L1461" s="3">
        <v>2</v>
      </c>
      <c r="M1461" s="2">
        <v>45606.81</v>
      </c>
      <c r="N1461" s="5">
        <v>0</v>
      </c>
      <c r="O1461" s="2">
        <v>91213.62</v>
      </c>
      <c r="P1461" s="2">
        <v>14447.78</v>
      </c>
      <c r="Q1461" t="s">
        <v>2170</v>
      </c>
    </row>
    <row r="1462" spans="1:17">
      <c r="A1462" t="s">
        <v>1477</v>
      </c>
      <c r="B1462" s="1">
        <v>46013</v>
      </c>
      <c r="C1462" t="s">
        <v>1569</v>
      </c>
      <c r="D1462" t="s">
        <v>1867</v>
      </c>
      <c r="E1462" t="s">
        <v>2113</v>
      </c>
      <c r="F1462" t="s">
        <v>2118</v>
      </c>
      <c r="G1462" t="s">
        <v>2122</v>
      </c>
      <c r="H1462" t="s">
        <v>2133</v>
      </c>
      <c r="I1462" t="s">
        <v>2144</v>
      </c>
      <c r="J1462" t="s">
        <v>2150</v>
      </c>
      <c r="K1462" t="s">
        <v>2159</v>
      </c>
      <c r="L1462" s="3">
        <v>2</v>
      </c>
      <c r="M1462" s="2">
        <v>428.31</v>
      </c>
      <c r="N1462" s="5">
        <v>0.1</v>
      </c>
      <c r="O1462" s="2">
        <v>770.96</v>
      </c>
      <c r="P1462" s="2">
        <v>224.44</v>
      </c>
      <c r="Q1462" t="s">
        <v>2170</v>
      </c>
    </row>
    <row r="1463" spans="1:17">
      <c r="A1463" t="s">
        <v>1478</v>
      </c>
      <c r="B1463" s="1">
        <v>46013</v>
      </c>
      <c r="C1463" t="s">
        <v>1680</v>
      </c>
      <c r="D1463" t="s">
        <v>1978</v>
      </c>
      <c r="E1463" t="s">
        <v>2113</v>
      </c>
      <c r="F1463" t="s">
        <v>2118</v>
      </c>
      <c r="G1463" t="s">
        <v>2122</v>
      </c>
      <c r="H1463" t="s">
        <v>2133</v>
      </c>
      <c r="I1463" t="s">
        <v>2143</v>
      </c>
      <c r="J1463" t="s">
        <v>2148</v>
      </c>
      <c r="K1463" t="s">
        <v>2161</v>
      </c>
      <c r="L1463" s="3">
        <v>3</v>
      </c>
      <c r="M1463" s="2">
        <v>1880.49</v>
      </c>
      <c r="N1463" s="5">
        <v>0.05</v>
      </c>
      <c r="O1463" s="2">
        <v>5359.4</v>
      </c>
      <c r="P1463" s="2">
        <v>655.22</v>
      </c>
      <c r="Q1463" t="s">
        <v>2170</v>
      </c>
    </row>
    <row r="1464" spans="1:17">
      <c r="A1464" t="s">
        <v>1479</v>
      </c>
      <c r="B1464" s="1">
        <v>46014</v>
      </c>
      <c r="C1464" t="s">
        <v>1644</v>
      </c>
      <c r="D1464" t="s">
        <v>1942</v>
      </c>
      <c r="E1464" t="s">
        <v>2114</v>
      </c>
      <c r="F1464" t="s">
        <v>2118</v>
      </c>
      <c r="G1464" t="s">
        <v>2128</v>
      </c>
      <c r="H1464" t="s">
        <v>2128</v>
      </c>
      <c r="I1464" t="s">
        <v>2142</v>
      </c>
      <c r="J1464" t="s">
        <v>2145</v>
      </c>
      <c r="K1464" t="s">
        <v>2153</v>
      </c>
      <c r="L1464" s="3">
        <v>3</v>
      </c>
      <c r="M1464" s="2">
        <v>12380.25</v>
      </c>
      <c r="N1464" s="5">
        <v>0</v>
      </c>
      <c r="O1464" s="2">
        <v>37140.75</v>
      </c>
      <c r="P1464" s="2">
        <v>4539.78</v>
      </c>
      <c r="Q1464" t="s">
        <v>2170</v>
      </c>
    </row>
    <row r="1465" spans="1:17">
      <c r="A1465" t="s">
        <v>1480</v>
      </c>
      <c r="B1465" s="1">
        <v>46014</v>
      </c>
      <c r="C1465" t="s">
        <v>1814</v>
      </c>
      <c r="D1465" t="s">
        <v>2112</v>
      </c>
      <c r="E1465" t="s">
        <v>2114</v>
      </c>
      <c r="F1465" t="s">
        <v>2119</v>
      </c>
      <c r="G1465" t="s">
        <v>2129</v>
      </c>
      <c r="H1465" t="s">
        <v>2139</v>
      </c>
      <c r="I1465" t="s">
        <v>2144</v>
      </c>
      <c r="J1465" t="s">
        <v>2152</v>
      </c>
      <c r="K1465" t="s">
        <v>2166</v>
      </c>
      <c r="L1465" s="3">
        <v>4</v>
      </c>
      <c r="M1465" s="2">
        <v>591.04</v>
      </c>
      <c r="N1465" s="5">
        <v>0.15</v>
      </c>
      <c r="O1465" s="2">
        <v>2009.54</v>
      </c>
      <c r="P1465" s="2">
        <v>382.52</v>
      </c>
      <c r="Q1465" t="s">
        <v>2168</v>
      </c>
    </row>
    <row r="1466" spans="1:17">
      <c r="A1466" t="s">
        <v>1481</v>
      </c>
      <c r="B1466" s="1">
        <v>46014</v>
      </c>
      <c r="C1466" t="s">
        <v>1768</v>
      </c>
      <c r="D1466" t="s">
        <v>2066</v>
      </c>
      <c r="E1466" t="s">
        <v>2114</v>
      </c>
      <c r="F1466" t="s">
        <v>2117</v>
      </c>
      <c r="G1466" t="s">
        <v>2121</v>
      </c>
      <c r="H1466" t="s">
        <v>2132</v>
      </c>
      <c r="I1466" t="s">
        <v>2142</v>
      </c>
      <c r="J1466" t="s">
        <v>2151</v>
      </c>
      <c r="K1466" t="s">
        <v>2160</v>
      </c>
      <c r="L1466" s="3">
        <v>3</v>
      </c>
      <c r="M1466" s="2">
        <v>8594.14</v>
      </c>
      <c r="N1466" s="5">
        <v>0.2</v>
      </c>
      <c r="O1466" s="2">
        <v>20625.939999999999</v>
      </c>
      <c r="P1466" s="2">
        <v>3170.7</v>
      </c>
      <c r="Q1466" t="s">
        <v>2167</v>
      </c>
    </row>
    <row r="1467" spans="1:17">
      <c r="A1467" t="s">
        <v>1482</v>
      </c>
      <c r="B1467" s="1">
        <v>46014</v>
      </c>
      <c r="C1467" t="s">
        <v>1538</v>
      </c>
      <c r="D1467" t="s">
        <v>1836</v>
      </c>
      <c r="E1467" t="s">
        <v>2114</v>
      </c>
      <c r="F1467" t="s">
        <v>2117</v>
      </c>
      <c r="G1467" t="s">
        <v>2121</v>
      </c>
      <c r="H1467" t="s">
        <v>2132</v>
      </c>
      <c r="I1467" t="s">
        <v>2142</v>
      </c>
      <c r="J1467" t="s">
        <v>2145</v>
      </c>
      <c r="K1467" t="s">
        <v>2165</v>
      </c>
      <c r="L1467" s="3">
        <v>1</v>
      </c>
      <c r="M1467" s="2">
        <v>6741.53</v>
      </c>
      <c r="N1467" s="5">
        <v>0.15</v>
      </c>
      <c r="O1467" s="2">
        <v>5730.3</v>
      </c>
      <c r="P1467" s="2">
        <v>889.75</v>
      </c>
      <c r="Q1467" t="s">
        <v>2170</v>
      </c>
    </row>
    <row r="1468" spans="1:17">
      <c r="A1468" t="s">
        <v>1483</v>
      </c>
      <c r="B1468" s="1">
        <v>46014</v>
      </c>
      <c r="C1468" t="s">
        <v>1743</v>
      </c>
      <c r="D1468" t="s">
        <v>2041</v>
      </c>
      <c r="E1468" t="s">
        <v>2114</v>
      </c>
      <c r="F1468" t="s">
        <v>2119</v>
      </c>
      <c r="G1468" t="s">
        <v>2130</v>
      </c>
      <c r="H1468" t="s">
        <v>2141</v>
      </c>
      <c r="I1468" t="s">
        <v>2142</v>
      </c>
      <c r="J1468" t="s">
        <v>2145</v>
      </c>
      <c r="K1468" t="s">
        <v>2165</v>
      </c>
      <c r="L1468" s="3">
        <v>4</v>
      </c>
      <c r="M1468" s="2">
        <v>6278.52</v>
      </c>
      <c r="N1468" s="5">
        <v>0.05</v>
      </c>
      <c r="O1468" s="2">
        <v>23858.38</v>
      </c>
      <c r="P1468" s="2">
        <v>3034.63</v>
      </c>
      <c r="Q1468" t="s">
        <v>2168</v>
      </c>
    </row>
    <row r="1469" spans="1:17">
      <c r="A1469" t="s">
        <v>1484</v>
      </c>
      <c r="B1469" s="1">
        <v>46015</v>
      </c>
      <c r="C1469" t="s">
        <v>1621</v>
      </c>
      <c r="D1469" t="s">
        <v>1919</v>
      </c>
      <c r="E1469" t="s">
        <v>2113</v>
      </c>
      <c r="F1469" t="s">
        <v>2119</v>
      </c>
      <c r="G1469" t="s">
        <v>2129</v>
      </c>
      <c r="H1469" t="s">
        <v>2139</v>
      </c>
      <c r="I1469" t="s">
        <v>2143</v>
      </c>
      <c r="J1469" t="s">
        <v>2146</v>
      </c>
      <c r="K1469" t="s">
        <v>2164</v>
      </c>
      <c r="L1469" s="3">
        <v>1</v>
      </c>
      <c r="M1469" s="2">
        <v>17239.77</v>
      </c>
      <c r="N1469" s="5">
        <v>0.05</v>
      </c>
      <c r="O1469" s="2">
        <v>16377.78</v>
      </c>
      <c r="P1469" s="2">
        <v>2079.44</v>
      </c>
      <c r="Q1469" t="s">
        <v>2168</v>
      </c>
    </row>
    <row r="1470" spans="1:17">
      <c r="A1470" t="s">
        <v>1485</v>
      </c>
      <c r="B1470" s="1">
        <v>46015</v>
      </c>
      <c r="C1470" t="s">
        <v>1713</v>
      </c>
      <c r="D1470" t="s">
        <v>2011</v>
      </c>
      <c r="E1470" t="s">
        <v>2114</v>
      </c>
      <c r="F1470" t="s">
        <v>2116</v>
      </c>
      <c r="G1470" t="s">
        <v>2120</v>
      </c>
      <c r="H1470" t="s">
        <v>2131</v>
      </c>
      <c r="I1470" t="s">
        <v>2142</v>
      </c>
      <c r="J1470" t="s">
        <v>2145</v>
      </c>
      <c r="K1470" t="s">
        <v>2153</v>
      </c>
      <c r="L1470" s="3">
        <v>3</v>
      </c>
      <c r="M1470" s="2">
        <v>12201.82</v>
      </c>
      <c r="N1470" s="5">
        <v>0</v>
      </c>
      <c r="O1470" s="2">
        <v>36605.46</v>
      </c>
      <c r="P1470" s="2">
        <v>9639.31</v>
      </c>
      <c r="Q1470" t="s">
        <v>2169</v>
      </c>
    </row>
    <row r="1471" spans="1:17">
      <c r="A1471" t="s">
        <v>1486</v>
      </c>
      <c r="B1471" s="1">
        <v>46015</v>
      </c>
      <c r="C1471" t="s">
        <v>1713</v>
      </c>
      <c r="D1471" t="s">
        <v>2011</v>
      </c>
      <c r="E1471" t="s">
        <v>2115</v>
      </c>
      <c r="F1471" t="s">
        <v>2119</v>
      </c>
      <c r="G1471" t="s">
        <v>2124</v>
      </c>
      <c r="H1471" t="s">
        <v>2135</v>
      </c>
      <c r="I1471" t="s">
        <v>2142</v>
      </c>
      <c r="J1471" t="s">
        <v>2145</v>
      </c>
      <c r="K1471" t="s">
        <v>2165</v>
      </c>
      <c r="L1471" s="3">
        <v>2</v>
      </c>
      <c r="M1471" s="2">
        <v>6229.48</v>
      </c>
      <c r="N1471" s="5">
        <v>0.15</v>
      </c>
      <c r="O1471" s="2">
        <v>10590.12</v>
      </c>
      <c r="P1471" s="2">
        <v>1093.0999999999999</v>
      </c>
      <c r="Q1471" t="s">
        <v>2168</v>
      </c>
    </row>
    <row r="1472" spans="1:17">
      <c r="A1472" t="s">
        <v>1487</v>
      </c>
      <c r="B1472" s="1">
        <v>46015</v>
      </c>
      <c r="C1472" t="s">
        <v>1623</v>
      </c>
      <c r="D1472" t="s">
        <v>1921</v>
      </c>
      <c r="E1472" t="s">
        <v>2114</v>
      </c>
      <c r="F1472" t="s">
        <v>2118</v>
      </c>
      <c r="G1472" t="s">
        <v>2122</v>
      </c>
      <c r="H1472" t="s">
        <v>2133</v>
      </c>
      <c r="I1472" t="s">
        <v>2142</v>
      </c>
      <c r="J1472" t="s">
        <v>2151</v>
      </c>
      <c r="K1472" t="s">
        <v>2160</v>
      </c>
      <c r="L1472" s="3">
        <v>3</v>
      </c>
      <c r="M1472" s="2">
        <v>8578.58</v>
      </c>
      <c r="N1472" s="5">
        <v>0.1</v>
      </c>
      <c r="O1472" s="2">
        <v>23162.17</v>
      </c>
      <c r="P1472" s="2">
        <v>2340.92</v>
      </c>
      <c r="Q1472" t="s">
        <v>2170</v>
      </c>
    </row>
    <row r="1473" spans="1:17">
      <c r="A1473" t="s">
        <v>1488</v>
      </c>
      <c r="B1473" s="1">
        <v>46016</v>
      </c>
      <c r="C1473" t="s">
        <v>1732</v>
      </c>
      <c r="D1473" t="s">
        <v>2030</v>
      </c>
      <c r="E1473" t="s">
        <v>2113</v>
      </c>
      <c r="F1473" t="s">
        <v>2118</v>
      </c>
      <c r="G1473" t="s">
        <v>2122</v>
      </c>
      <c r="H1473" t="s">
        <v>2133</v>
      </c>
      <c r="I1473" t="s">
        <v>2143</v>
      </c>
      <c r="J1473" t="s">
        <v>2149</v>
      </c>
      <c r="K1473" t="s">
        <v>2158</v>
      </c>
      <c r="L1473" s="3">
        <v>1</v>
      </c>
      <c r="M1473" s="2">
        <v>46077.83</v>
      </c>
      <c r="N1473" s="5">
        <v>0.1</v>
      </c>
      <c r="O1473" s="2">
        <v>41470.050000000003</v>
      </c>
      <c r="P1473" s="2">
        <v>4162.6000000000004</v>
      </c>
      <c r="Q1473" t="s">
        <v>2168</v>
      </c>
    </row>
    <row r="1474" spans="1:17">
      <c r="A1474" t="s">
        <v>1489</v>
      </c>
      <c r="B1474" s="1">
        <v>46016</v>
      </c>
      <c r="C1474" t="s">
        <v>1621</v>
      </c>
      <c r="D1474" t="s">
        <v>1919</v>
      </c>
      <c r="E1474" t="s">
        <v>2114</v>
      </c>
      <c r="F1474" t="s">
        <v>2116</v>
      </c>
      <c r="G1474" t="s">
        <v>2127</v>
      </c>
      <c r="H1474" t="s">
        <v>2138</v>
      </c>
      <c r="I1474" t="s">
        <v>2144</v>
      </c>
      <c r="J1474" t="s">
        <v>2152</v>
      </c>
      <c r="K1474" t="s">
        <v>2166</v>
      </c>
      <c r="L1474" s="3">
        <v>1</v>
      </c>
      <c r="M1474" s="2">
        <v>615.65</v>
      </c>
      <c r="N1474" s="5">
        <v>0.1</v>
      </c>
      <c r="O1474" s="2">
        <v>554.09</v>
      </c>
      <c r="P1474" s="2">
        <v>129.09</v>
      </c>
      <c r="Q1474" t="s">
        <v>2168</v>
      </c>
    </row>
    <row r="1475" spans="1:17">
      <c r="A1475" t="s">
        <v>1490</v>
      </c>
      <c r="B1475" s="1">
        <v>46016</v>
      </c>
      <c r="C1475" t="s">
        <v>1774</v>
      </c>
      <c r="D1475" t="s">
        <v>2072</v>
      </c>
      <c r="E1475" t="s">
        <v>2114</v>
      </c>
      <c r="F1475" t="s">
        <v>2117</v>
      </c>
      <c r="G1475" t="s">
        <v>2125</v>
      </c>
      <c r="H1475" t="s">
        <v>2136</v>
      </c>
      <c r="I1475" t="s">
        <v>2143</v>
      </c>
      <c r="J1475" t="s">
        <v>2146</v>
      </c>
      <c r="K1475" t="s">
        <v>2154</v>
      </c>
      <c r="L1475" s="3">
        <v>1</v>
      </c>
      <c r="M1475" s="2">
        <v>39928.730000000003</v>
      </c>
      <c r="N1475" s="5">
        <v>0</v>
      </c>
      <c r="O1475" s="2">
        <v>39928.730000000003</v>
      </c>
      <c r="P1475" s="2">
        <v>5804.94</v>
      </c>
      <c r="Q1475" t="s">
        <v>2169</v>
      </c>
    </row>
    <row r="1476" spans="1:17">
      <c r="A1476" t="s">
        <v>1491</v>
      </c>
      <c r="B1476" s="1">
        <v>46016</v>
      </c>
      <c r="C1476" t="s">
        <v>1631</v>
      </c>
      <c r="D1476" t="s">
        <v>1929</v>
      </c>
      <c r="E1476" t="s">
        <v>2114</v>
      </c>
      <c r="F1476" t="s">
        <v>2118</v>
      </c>
      <c r="G1476" t="s">
        <v>2128</v>
      </c>
      <c r="H1476" t="s">
        <v>2128</v>
      </c>
      <c r="I1476" t="s">
        <v>2142</v>
      </c>
      <c r="J1476" t="s">
        <v>2145</v>
      </c>
      <c r="K1476" t="s">
        <v>2165</v>
      </c>
      <c r="L1476" s="3">
        <v>3</v>
      </c>
      <c r="M1476" s="2">
        <v>6360.68</v>
      </c>
      <c r="N1476" s="5">
        <v>0</v>
      </c>
      <c r="O1476" s="2">
        <v>19082.04</v>
      </c>
      <c r="P1476" s="2">
        <v>4930.09</v>
      </c>
      <c r="Q1476" t="s">
        <v>2167</v>
      </c>
    </row>
    <row r="1477" spans="1:17">
      <c r="A1477" t="s">
        <v>1492</v>
      </c>
      <c r="B1477" s="1">
        <v>46016</v>
      </c>
      <c r="C1477" t="s">
        <v>1783</v>
      </c>
      <c r="D1477" t="s">
        <v>2081</v>
      </c>
      <c r="E1477" t="s">
        <v>2114</v>
      </c>
      <c r="F1477" t="s">
        <v>2119</v>
      </c>
      <c r="G1477" t="s">
        <v>2129</v>
      </c>
      <c r="H1477" t="s">
        <v>2139</v>
      </c>
      <c r="I1477" t="s">
        <v>2143</v>
      </c>
      <c r="J1477" t="s">
        <v>2149</v>
      </c>
      <c r="K1477" t="s">
        <v>2163</v>
      </c>
      <c r="L1477" s="3">
        <v>1</v>
      </c>
      <c r="M1477" s="2">
        <v>64238.15</v>
      </c>
      <c r="N1477" s="5">
        <v>0.1</v>
      </c>
      <c r="O1477" s="2">
        <v>57814.33</v>
      </c>
      <c r="P1477" s="2">
        <v>4390.97</v>
      </c>
      <c r="Q1477" t="s">
        <v>2169</v>
      </c>
    </row>
    <row r="1478" spans="1:17">
      <c r="A1478" t="s">
        <v>1493</v>
      </c>
      <c r="B1478" s="1">
        <v>46016</v>
      </c>
      <c r="C1478" t="s">
        <v>1774</v>
      </c>
      <c r="D1478" t="s">
        <v>2072</v>
      </c>
      <c r="E1478" t="s">
        <v>2114</v>
      </c>
      <c r="F1478" t="s">
        <v>2119</v>
      </c>
      <c r="G1478" t="s">
        <v>2124</v>
      </c>
      <c r="H1478" t="s">
        <v>2135</v>
      </c>
      <c r="I1478" t="s">
        <v>2142</v>
      </c>
      <c r="J1478" t="s">
        <v>2147</v>
      </c>
      <c r="K1478" t="s">
        <v>2157</v>
      </c>
      <c r="L1478" s="3">
        <v>3</v>
      </c>
      <c r="M1478" s="2">
        <v>14321.7</v>
      </c>
      <c r="N1478" s="5">
        <v>0</v>
      </c>
      <c r="O1478" s="2">
        <v>42965.1</v>
      </c>
      <c r="P1478" s="2">
        <v>5211.21</v>
      </c>
      <c r="Q1478" t="s">
        <v>2167</v>
      </c>
    </row>
    <row r="1479" spans="1:17">
      <c r="A1479" t="s">
        <v>1494</v>
      </c>
      <c r="B1479" s="1">
        <v>46017</v>
      </c>
      <c r="C1479" t="s">
        <v>1593</v>
      </c>
      <c r="D1479" t="s">
        <v>1891</v>
      </c>
      <c r="E1479" t="s">
        <v>2113</v>
      </c>
      <c r="F1479" t="s">
        <v>2117</v>
      </c>
      <c r="G1479" t="s">
        <v>2123</v>
      </c>
      <c r="H1479" t="s">
        <v>2134</v>
      </c>
      <c r="I1479" t="s">
        <v>2143</v>
      </c>
      <c r="J1479" t="s">
        <v>2149</v>
      </c>
      <c r="K1479" t="s">
        <v>2158</v>
      </c>
      <c r="L1479" s="3">
        <v>2</v>
      </c>
      <c r="M1479" s="2">
        <v>48475.34</v>
      </c>
      <c r="N1479" s="5">
        <v>0.1</v>
      </c>
      <c r="O1479" s="2">
        <v>87255.61</v>
      </c>
      <c r="P1479" s="2">
        <v>14115.77</v>
      </c>
      <c r="Q1479" t="s">
        <v>2169</v>
      </c>
    </row>
    <row r="1480" spans="1:17">
      <c r="A1480" t="s">
        <v>1495</v>
      </c>
      <c r="B1480" s="1">
        <v>46017</v>
      </c>
      <c r="C1480" t="s">
        <v>1635</v>
      </c>
      <c r="D1480" t="s">
        <v>1933</v>
      </c>
      <c r="E1480" t="s">
        <v>2114</v>
      </c>
      <c r="F1480" t="s">
        <v>2117</v>
      </c>
      <c r="G1480" t="s">
        <v>2125</v>
      </c>
      <c r="H1480" t="s">
        <v>2136</v>
      </c>
      <c r="I1480" t="s">
        <v>2142</v>
      </c>
      <c r="J1480" t="s">
        <v>2147</v>
      </c>
      <c r="K1480" t="s">
        <v>2157</v>
      </c>
      <c r="L1480" s="3">
        <v>2</v>
      </c>
      <c r="M1480" s="2">
        <v>14457.89</v>
      </c>
      <c r="N1480" s="5">
        <v>0</v>
      </c>
      <c r="O1480" s="2">
        <v>28915.78</v>
      </c>
      <c r="P1480" s="2">
        <v>6532.25</v>
      </c>
      <c r="Q1480" t="s">
        <v>2169</v>
      </c>
    </row>
    <row r="1481" spans="1:17">
      <c r="A1481" t="s">
        <v>1496</v>
      </c>
      <c r="B1481" s="1">
        <v>46018</v>
      </c>
      <c r="C1481" t="s">
        <v>1750</v>
      </c>
      <c r="D1481" t="s">
        <v>2048</v>
      </c>
      <c r="E1481" t="s">
        <v>2113</v>
      </c>
      <c r="F1481" t="s">
        <v>2117</v>
      </c>
      <c r="G1481" t="s">
        <v>2123</v>
      </c>
      <c r="H1481" t="s">
        <v>2134</v>
      </c>
      <c r="I1481" t="s">
        <v>2142</v>
      </c>
      <c r="J1481" t="s">
        <v>2145</v>
      </c>
      <c r="K1481" t="s">
        <v>2153</v>
      </c>
      <c r="L1481" s="3">
        <v>1</v>
      </c>
      <c r="M1481" s="2">
        <v>12106.18</v>
      </c>
      <c r="N1481" s="5">
        <v>0.1</v>
      </c>
      <c r="O1481" s="2">
        <v>10895.56</v>
      </c>
      <c r="P1481" s="2">
        <v>1920.95</v>
      </c>
      <c r="Q1481" t="s">
        <v>2169</v>
      </c>
    </row>
    <row r="1482" spans="1:17">
      <c r="A1482" t="s">
        <v>1497</v>
      </c>
      <c r="B1482" s="1">
        <v>46018</v>
      </c>
      <c r="C1482" t="s">
        <v>1811</v>
      </c>
      <c r="D1482" t="s">
        <v>2109</v>
      </c>
      <c r="E1482" t="s">
        <v>2115</v>
      </c>
      <c r="F1482" t="s">
        <v>2118</v>
      </c>
      <c r="G1482" t="s">
        <v>2126</v>
      </c>
      <c r="H1482" t="s">
        <v>2137</v>
      </c>
      <c r="I1482" t="s">
        <v>2142</v>
      </c>
      <c r="J1482" t="s">
        <v>2145</v>
      </c>
      <c r="K1482" t="s">
        <v>2153</v>
      </c>
      <c r="L1482" s="3">
        <v>3</v>
      </c>
      <c r="M1482" s="2">
        <v>12562.71</v>
      </c>
      <c r="N1482" s="5">
        <v>0.15</v>
      </c>
      <c r="O1482" s="2">
        <v>32034.91</v>
      </c>
      <c r="P1482" s="2">
        <v>6037.46</v>
      </c>
      <c r="Q1482" t="s">
        <v>2167</v>
      </c>
    </row>
    <row r="1483" spans="1:17">
      <c r="A1483" t="s">
        <v>1498</v>
      </c>
      <c r="B1483" s="1">
        <v>46019</v>
      </c>
      <c r="C1483" t="s">
        <v>1524</v>
      </c>
      <c r="D1483" t="s">
        <v>1822</v>
      </c>
      <c r="E1483" t="s">
        <v>2113</v>
      </c>
      <c r="F1483" t="s">
        <v>2117</v>
      </c>
      <c r="G1483" t="s">
        <v>2121</v>
      </c>
      <c r="H1483" t="s">
        <v>2132</v>
      </c>
      <c r="I1483" t="s">
        <v>2143</v>
      </c>
      <c r="J1483" t="s">
        <v>2148</v>
      </c>
      <c r="K1483" t="s">
        <v>2161</v>
      </c>
      <c r="L1483" s="3">
        <v>3</v>
      </c>
      <c r="M1483" s="2">
        <v>1760.02</v>
      </c>
      <c r="N1483" s="5">
        <v>0.2</v>
      </c>
      <c r="O1483" s="2">
        <v>4224.05</v>
      </c>
      <c r="P1483" s="2">
        <v>478.46</v>
      </c>
      <c r="Q1483" t="s">
        <v>2167</v>
      </c>
    </row>
    <row r="1484" spans="1:17">
      <c r="A1484" t="s">
        <v>1499</v>
      </c>
      <c r="B1484" s="1">
        <v>46019</v>
      </c>
      <c r="C1484" t="s">
        <v>1641</v>
      </c>
      <c r="D1484" t="s">
        <v>1939</v>
      </c>
      <c r="E1484" t="s">
        <v>2113</v>
      </c>
      <c r="F1484" t="s">
        <v>2119</v>
      </c>
      <c r="G1484" t="s">
        <v>2129</v>
      </c>
      <c r="H1484" t="s">
        <v>2139</v>
      </c>
      <c r="I1484" t="s">
        <v>2142</v>
      </c>
      <c r="J1484" t="s">
        <v>2145</v>
      </c>
      <c r="K1484" t="s">
        <v>2165</v>
      </c>
      <c r="L1484" s="3">
        <v>1</v>
      </c>
      <c r="M1484" s="2">
        <v>6571.19</v>
      </c>
      <c r="N1484" s="5">
        <v>0.1</v>
      </c>
      <c r="O1484" s="2">
        <v>5914.07</v>
      </c>
      <c r="P1484" s="2">
        <v>791.15</v>
      </c>
      <c r="Q1484" t="s">
        <v>2168</v>
      </c>
    </row>
    <row r="1485" spans="1:17">
      <c r="A1485" t="s">
        <v>1500</v>
      </c>
      <c r="B1485" s="1">
        <v>46019</v>
      </c>
      <c r="C1485" t="s">
        <v>1803</v>
      </c>
      <c r="D1485" t="s">
        <v>2101</v>
      </c>
      <c r="E1485" t="s">
        <v>2113</v>
      </c>
      <c r="F1485" t="s">
        <v>2117</v>
      </c>
      <c r="G1485" t="s">
        <v>2121</v>
      </c>
      <c r="H1485" t="s">
        <v>2132</v>
      </c>
      <c r="I1485" t="s">
        <v>2143</v>
      </c>
      <c r="J1485" t="s">
        <v>2146</v>
      </c>
      <c r="K1485" t="s">
        <v>2164</v>
      </c>
      <c r="L1485" s="3">
        <v>3</v>
      </c>
      <c r="M1485" s="2">
        <v>18709.150000000001</v>
      </c>
      <c r="N1485" s="5">
        <v>0.15</v>
      </c>
      <c r="O1485" s="2">
        <v>47708.33</v>
      </c>
      <c r="P1485" s="2">
        <v>9074.7999999999993</v>
      </c>
      <c r="Q1485" t="s">
        <v>2168</v>
      </c>
    </row>
    <row r="1486" spans="1:17">
      <c r="A1486" t="s">
        <v>1501</v>
      </c>
      <c r="B1486" s="1">
        <v>46019</v>
      </c>
      <c r="C1486" t="s">
        <v>1668</v>
      </c>
      <c r="D1486" t="s">
        <v>1966</v>
      </c>
      <c r="E1486" t="s">
        <v>2113</v>
      </c>
      <c r="F1486" t="s">
        <v>2116</v>
      </c>
      <c r="G1486" t="s">
        <v>2120</v>
      </c>
      <c r="H1486" t="s">
        <v>2131</v>
      </c>
      <c r="I1486" t="s">
        <v>2144</v>
      </c>
      <c r="J1486" t="s">
        <v>2152</v>
      </c>
      <c r="K1486" t="s">
        <v>2166</v>
      </c>
      <c r="L1486" s="3">
        <v>2</v>
      </c>
      <c r="M1486" s="2">
        <v>581.71</v>
      </c>
      <c r="N1486" s="5">
        <v>0</v>
      </c>
      <c r="O1486" s="2">
        <v>1163.42</v>
      </c>
      <c r="P1486" s="2">
        <v>213</v>
      </c>
      <c r="Q1486" t="s">
        <v>2170</v>
      </c>
    </row>
    <row r="1487" spans="1:17">
      <c r="A1487" t="s">
        <v>1502</v>
      </c>
      <c r="B1487" s="1">
        <v>46020</v>
      </c>
      <c r="C1487" t="s">
        <v>1556</v>
      </c>
      <c r="D1487" t="s">
        <v>1854</v>
      </c>
      <c r="E1487" t="s">
        <v>2115</v>
      </c>
      <c r="F1487" t="s">
        <v>2117</v>
      </c>
      <c r="G1487" t="s">
        <v>2123</v>
      </c>
      <c r="H1487" t="s">
        <v>2134</v>
      </c>
      <c r="I1487" t="s">
        <v>2142</v>
      </c>
      <c r="J1487" t="s">
        <v>2145</v>
      </c>
      <c r="K1487" t="s">
        <v>2165</v>
      </c>
      <c r="L1487" s="3">
        <v>4</v>
      </c>
      <c r="M1487" s="2">
        <v>6820.7</v>
      </c>
      <c r="N1487" s="5">
        <v>0</v>
      </c>
      <c r="O1487" s="2">
        <v>27282.799999999999</v>
      </c>
      <c r="P1487" s="2">
        <v>6324.05</v>
      </c>
      <c r="Q1487" t="s">
        <v>2169</v>
      </c>
    </row>
    <row r="1488" spans="1:17">
      <c r="A1488" t="s">
        <v>1503</v>
      </c>
      <c r="B1488" s="1">
        <v>46021</v>
      </c>
      <c r="C1488" t="s">
        <v>1544</v>
      </c>
      <c r="D1488" t="s">
        <v>1842</v>
      </c>
      <c r="E1488" t="s">
        <v>2115</v>
      </c>
      <c r="F1488" t="s">
        <v>2118</v>
      </c>
      <c r="G1488" t="s">
        <v>2126</v>
      </c>
      <c r="H1488" t="s">
        <v>2137</v>
      </c>
      <c r="I1488" t="s">
        <v>2143</v>
      </c>
      <c r="J1488" t="s">
        <v>2148</v>
      </c>
      <c r="K1488" t="s">
        <v>2156</v>
      </c>
      <c r="L1488" s="3">
        <v>1</v>
      </c>
      <c r="M1488" s="2">
        <v>1200.3800000000001</v>
      </c>
      <c r="N1488" s="5">
        <v>0.05</v>
      </c>
      <c r="O1488" s="2">
        <v>1140.3599999999999</v>
      </c>
      <c r="P1488" s="2">
        <v>164.22</v>
      </c>
      <c r="Q1488" t="s">
        <v>2168</v>
      </c>
    </row>
    <row r="1489" spans="1:17">
      <c r="A1489" t="s">
        <v>1504</v>
      </c>
      <c r="B1489" s="1">
        <v>46021</v>
      </c>
      <c r="C1489" t="s">
        <v>1546</v>
      </c>
      <c r="D1489" t="s">
        <v>1844</v>
      </c>
      <c r="E1489" t="s">
        <v>2114</v>
      </c>
      <c r="F1489" t="s">
        <v>2116</v>
      </c>
      <c r="G1489" t="s">
        <v>2127</v>
      </c>
      <c r="H1489" t="s">
        <v>2140</v>
      </c>
      <c r="I1489" t="s">
        <v>2144</v>
      </c>
      <c r="J1489" t="s">
        <v>2152</v>
      </c>
      <c r="K1489" t="s">
        <v>2162</v>
      </c>
      <c r="L1489" s="3">
        <v>2</v>
      </c>
      <c r="M1489" s="2">
        <v>339.12</v>
      </c>
      <c r="N1489" s="5">
        <v>0.1</v>
      </c>
      <c r="O1489" s="2">
        <v>610.41999999999996</v>
      </c>
      <c r="P1489" s="2">
        <v>185.16</v>
      </c>
      <c r="Q1489" t="s">
        <v>2170</v>
      </c>
    </row>
    <row r="1490" spans="1:17">
      <c r="A1490" t="s">
        <v>1505</v>
      </c>
      <c r="B1490" s="1">
        <v>46021</v>
      </c>
      <c r="C1490" t="s">
        <v>1529</v>
      </c>
      <c r="D1490" t="s">
        <v>1827</v>
      </c>
      <c r="E1490" t="s">
        <v>2114</v>
      </c>
      <c r="F1490" t="s">
        <v>2119</v>
      </c>
      <c r="G1490" t="s">
        <v>2129</v>
      </c>
      <c r="H1490" t="s">
        <v>2139</v>
      </c>
      <c r="I1490" t="s">
        <v>2142</v>
      </c>
      <c r="J1490" t="s">
        <v>2145</v>
      </c>
      <c r="K1490" t="s">
        <v>2153</v>
      </c>
      <c r="L1490" s="3">
        <v>4</v>
      </c>
      <c r="M1490" s="2">
        <v>11514.48</v>
      </c>
      <c r="N1490" s="5">
        <v>0.1</v>
      </c>
      <c r="O1490" s="2">
        <v>41452.129999999997</v>
      </c>
      <c r="P1490" s="2">
        <v>7372.8</v>
      </c>
      <c r="Q1490" t="s">
        <v>2167</v>
      </c>
    </row>
    <row r="1491" spans="1:17">
      <c r="A1491" t="s">
        <v>1506</v>
      </c>
      <c r="B1491" s="1">
        <v>46021</v>
      </c>
      <c r="C1491" t="s">
        <v>1720</v>
      </c>
      <c r="D1491" t="s">
        <v>2018</v>
      </c>
      <c r="E1491" t="s">
        <v>2114</v>
      </c>
      <c r="F1491" t="s">
        <v>2117</v>
      </c>
      <c r="G1491" t="s">
        <v>2123</v>
      </c>
      <c r="H1491" t="s">
        <v>2134</v>
      </c>
      <c r="I1491" t="s">
        <v>2143</v>
      </c>
      <c r="J1491" t="s">
        <v>2146</v>
      </c>
      <c r="K1491" t="s">
        <v>2154</v>
      </c>
      <c r="L1491" s="3">
        <v>4</v>
      </c>
      <c r="M1491" s="2">
        <v>41766.410000000003</v>
      </c>
      <c r="N1491" s="5">
        <v>0</v>
      </c>
      <c r="O1491" s="2">
        <v>167065.64000000001</v>
      </c>
      <c r="P1491" s="2">
        <v>33232.550000000003</v>
      </c>
      <c r="Q1491" t="s">
        <v>2167</v>
      </c>
    </row>
    <row r="1492" spans="1:17">
      <c r="A1492" t="s">
        <v>1507</v>
      </c>
      <c r="B1492" s="1">
        <v>46022</v>
      </c>
      <c r="C1492" t="s">
        <v>1592</v>
      </c>
      <c r="D1492" t="s">
        <v>1890</v>
      </c>
      <c r="E1492" t="s">
        <v>2113</v>
      </c>
      <c r="F1492" t="s">
        <v>2116</v>
      </c>
      <c r="G1492" t="s">
        <v>2120</v>
      </c>
      <c r="H1492" t="s">
        <v>2131</v>
      </c>
      <c r="I1492" t="s">
        <v>2142</v>
      </c>
      <c r="J1492" t="s">
        <v>2145</v>
      </c>
      <c r="K1492" t="s">
        <v>2165</v>
      </c>
      <c r="L1492" s="3">
        <v>1</v>
      </c>
      <c r="M1492" s="2">
        <v>6445.49</v>
      </c>
      <c r="N1492" s="5">
        <v>0.1</v>
      </c>
      <c r="O1492" s="2">
        <v>5800.94</v>
      </c>
      <c r="P1492" s="2">
        <v>984.03</v>
      </c>
      <c r="Q1492" t="s">
        <v>2167</v>
      </c>
    </row>
    <row r="1493" spans="1:17">
      <c r="A1493" t="s">
        <v>1508</v>
      </c>
      <c r="B1493" s="1">
        <v>46022</v>
      </c>
      <c r="C1493" t="s">
        <v>1529</v>
      </c>
      <c r="D1493" t="s">
        <v>1827</v>
      </c>
      <c r="E1493" t="s">
        <v>2114</v>
      </c>
      <c r="F1493" t="s">
        <v>2118</v>
      </c>
      <c r="G1493" t="s">
        <v>2128</v>
      </c>
      <c r="H1493" t="s">
        <v>2128</v>
      </c>
      <c r="I1493" t="s">
        <v>2142</v>
      </c>
      <c r="J1493" t="s">
        <v>2145</v>
      </c>
      <c r="K1493" t="s">
        <v>2153</v>
      </c>
      <c r="L1493" s="3">
        <v>4</v>
      </c>
      <c r="M1493" s="2">
        <v>12015.99</v>
      </c>
      <c r="N1493" s="5">
        <v>0</v>
      </c>
      <c r="O1493" s="2">
        <v>48063.96</v>
      </c>
      <c r="P1493" s="2">
        <v>7561.25</v>
      </c>
      <c r="Q1493" t="s">
        <v>2167</v>
      </c>
    </row>
    <row r="1494" spans="1:17">
      <c r="A1494" t="s">
        <v>1509</v>
      </c>
      <c r="B1494" s="1">
        <v>46022</v>
      </c>
      <c r="C1494" t="s">
        <v>1813</v>
      </c>
      <c r="D1494" t="s">
        <v>2111</v>
      </c>
      <c r="E1494" t="s">
        <v>2114</v>
      </c>
      <c r="F1494" t="s">
        <v>2117</v>
      </c>
      <c r="G1494" t="s">
        <v>2121</v>
      </c>
      <c r="H1494" t="s">
        <v>2132</v>
      </c>
      <c r="I1494" t="s">
        <v>2143</v>
      </c>
      <c r="J1494" t="s">
        <v>2149</v>
      </c>
      <c r="K1494" t="s">
        <v>2158</v>
      </c>
      <c r="L1494" s="3">
        <v>2</v>
      </c>
      <c r="M1494" s="2">
        <v>49214.97</v>
      </c>
      <c r="N1494" s="5">
        <v>0.1</v>
      </c>
      <c r="O1494" s="2">
        <v>88586.95</v>
      </c>
      <c r="P1494" s="2">
        <v>13297.16</v>
      </c>
      <c r="Q1494" t="s">
        <v>2169</v>
      </c>
    </row>
    <row r="1495" spans="1:17">
      <c r="A1495" t="s">
        <v>1510</v>
      </c>
      <c r="B1495" s="1">
        <v>46022</v>
      </c>
      <c r="C1495" t="s">
        <v>1523</v>
      </c>
      <c r="D1495" t="s">
        <v>1821</v>
      </c>
      <c r="E1495" t="s">
        <v>2115</v>
      </c>
      <c r="F1495" t="s">
        <v>2116</v>
      </c>
      <c r="G1495" t="s">
        <v>2127</v>
      </c>
      <c r="H1495" t="s">
        <v>2140</v>
      </c>
      <c r="I1495" t="s">
        <v>2142</v>
      </c>
      <c r="J1495" t="s">
        <v>2145</v>
      </c>
      <c r="K1495" t="s">
        <v>2165</v>
      </c>
      <c r="L1495" s="3">
        <v>1</v>
      </c>
      <c r="M1495" s="2">
        <v>6555.78</v>
      </c>
      <c r="N1495" s="5">
        <v>0.1</v>
      </c>
      <c r="O1495" s="2">
        <v>5900.2</v>
      </c>
      <c r="P1495" s="2">
        <v>1099.77</v>
      </c>
      <c r="Q1495" t="s">
        <v>2168</v>
      </c>
    </row>
    <row r="1496" spans="1:17">
      <c r="A1496" t="s">
        <v>1511</v>
      </c>
      <c r="B1496" s="1">
        <v>46022</v>
      </c>
      <c r="C1496" t="s">
        <v>1544</v>
      </c>
      <c r="D1496" t="s">
        <v>1842</v>
      </c>
      <c r="E1496" t="s">
        <v>2113</v>
      </c>
      <c r="F1496" t="s">
        <v>2117</v>
      </c>
      <c r="G1496" t="s">
        <v>2123</v>
      </c>
      <c r="H1496" t="s">
        <v>2134</v>
      </c>
      <c r="I1496" t="s">
        <v>2143</v>
      </c>
      <c r="J1496" t="s">
        <v>2146</v>
      </c>
      <c r="K1496" t="s">
        <v>2154</v>
      </c>
      <c r="L1496" s="3">
        <v>2</v>
      </c>
      <c r="M1496" s="2">
        <v>43194.65</v>
      </c>
      <c r="N1496" s="5">
        <v>0</v>
      </c>
      <c r="O1496" s="2">
        <v>86389.3</v>
      </c>
      <c r="P1496" s="2">
        <v>15119.84</v>
      </c>
      <c r="Q1496" t="s">
        <v>2169</v>
      </c>
    </row>
    <row r="1497" spans="1:17">
      <c r="A1497" t="s">
        <v>1512</v>
      </c>
      <c r="B1497" s="1">
        <v>46022</v>
      </c>
      <c r="C1497" t="s">
        <v>1574</v>
      </c>
      <c r="D1497" t="s">
        <v>1872</v>
      </c>
      <c r="E1497" t="s">
        <v>2114</v>
      </c>
      <c r="F1497" t="s">
        <v>2116</v>
      </c>
      <c r="G1497" t="s">
        <v>2127</v>
      </c>
      <c r="H1497" t="s">
        <v>2138</v>
      </c>
      <c r="I1497" t="s">
        <v>2143</v>
      </c>
      <c r="J1497" t="s">
        <v>2148</v>
      </c>
      <c r="K1497" t="s">
        <v>2161</v>
      </c>
      <c r="L1497" s="3">
        <v>1</v>
      </c>
      <c r="M1497" s="2">
        <v>1739.16</v>
      </c>
      <c r="N1497" s="5">
        <v>0.1</v>
      </c>
      <c r="O1497" s="2">
        <v>1565.24</v>
      </c>
      <c r="P1497" s="2">
        <v>260.85000000000002</v>
      </c>
      <c r="Q1497" t="s">
        <v>2168</v>
      </c>
    </row>
    <row r="1498" spans="1:17">
      <c r="A1498" t="s">
        <v>1513</v>
      </c>
      <c r="B1498" s="1">
        <v>46022</v>
      </c>
      <c r="C1498" t="s">
        <v>1600</v>
      </c>
      <c r="D1498" t="s">
        <v>1898</v>
      </c>
      <c r="E1498" t="s">
        <v>2114</v>
      </c>
      <c r="F1498" t="s">
        <v>2118</v>
      </c>
      <c r="G1498" t="s">
        <v>2126</v>
      </c>
      <c r="H1498" t="s">
        <v>2137</v>
      </c>
      <c r="I1498" t="s">
        <v>2142</v>
      </c>
      <c r="J1498" t="s">
        <v>2145</v>
      </c>
      <c r="K1498" t="s">
        <v>2165</v>
      </c>
      <c r="L1498" s="3">
        <v>1</v>
      </c>
      <c r="M1498" s="2">
        <v>6355.05</v>
      </c>
      <c r="N1498" s="5">
        <v>0.05</v>
      </c>
      <c r="O1498" s="2">
        <v>6037.3</v>
      </c>
      <c r="P1498" s="2">
        <v>1184.69</v>
      </c>
      <c r="Q1498" t="s">
        <v>2167</v>
      </c>
    </row>
    <row r="1499" spans="1:17">
      <c r="A1499" t="s">
        <v>1514</v>
      </c>
      <c r="B1499" s="1">
        <v>46022</v>
      </c>
      <c r="C1499" t="s">
        <v>1651</v>
      </c>
      <c r="D1499" t="s">
        <v>1949</v>
      </c>
      <c r="E1499" t="s">
        <v>2114</v>
      </c>
      <c r="F1499" t="s">
        <v>2117</v>
      </c>
      <c r="G1499" t="s">
        <v>2125</v>
      </c>
      <c r="H1499" t="s">
        <v>2136</v>
      </c>
      <c r="I1499" t="s">
        <v>2142</v>
      </c>
      <c r="J1499" t="s">
        <v>2145</v>
      </c>
      <c r="K1499" t="s">
        <v>2165</v>
      </c>
      <c r="L1499" s="3">
        <v>2</v>
      </c>
      <c r="M1499" s="2">
        <v>6487.9</v>
      </c>
      <c r="N1499" s="5">
        <v>0.15</v>
      </c>
      <c r="O1499" s="2">
        <v>11029.43</v>
      </c>
      <c r="P1499" s="2">
        <v>1064.83</v>
      </c>
      <c r="Q1499" t="s">
        <v>2168</v>
      </c>
    </row>
    <row r="1500" spans="1:17">
      <c r="A1500" t="s">
        <v>1515</v>
      </c>
      <c r="B1500" s="1">
        <v>46022</v>
      </c>
      <c r="C1500" t="s">
        <v>1554</v>
      </c>
      <c r="D1500" t="s">
        <v>1852</v>
      </c>
      <c r="E1500" t="s">
        <v>2115</v>
      </c>
      <c r="F1500" t="s">
        <v>2117</v>
      </c>
      <c r="G1500" t="s">
        <v>2125</v>
      </c>
      <c r="H1500" t="s">
        <v>2136</v>
      </c>
      <c r="I1500" t="s">
        <v>2144</v>
      </c>
      <c r="J1500" t="s">
        <v>2147</v>
      </c>
      <c r="K1500" t="s">
        <v>2155</v>
      </c>
      <c r="L1500" s="3">
        <v>2</v>
      </c>
      <c r="M1500" s="2">
        <v>761.66</v>
      </c>
      <c r="N1500" s="5">
        <v>0</v>
      </c>
      <c r="O1500" s="2">
        <v>1523.32</v>
      </c>
      <c r="P1500" s="2">
        <v>231.02</v>
      </c>
      <c r="Q1500" t="s">
        <v>2168</v>
      </c>
    </row>
    <row r="1501" spans="1:17">
      <c r="A1501" t="s">
        <v>1516</v>
      </c>
      <c r="B1501" s="1">
        <v>46022</v>
      </c>
      <c r="C1501" t="s">
        <v>1644</v>
      </c>
      <c r="D1501" t="s">
        <v>1942</v>
      </c>
      <c r="E1501" t="s">
        <v>2114</v>
      </c>
      <c r="F1501" t="s">
        <v>2117</v>
      </c>
      <c r="G1501" t="s">
        <v>2123</v>
      </c>
      <c r="H1501" t="s">
        <v>2134</v>
      </c>
      <c r="I1501" t="s">
        <v>2142</v>
      </c>
      <c r="J1501" t="s">
        <v>2145</v>
      </c>
      <c r="K1501" t="s">
        <v>2165</v>
      </c>
      <c r="L1501" s="3">
        <v>2</v>
      </c>
      <c r="M1501" s="2">
        <v>6404.55</v>
      </c>
      <c r="N1501" s="5">
        <v>0.15</v>
      </c>
      <c r="O1501" s="2">
        <v>10887.74</v>
      </c>
      <c r="P1501" s="2">
        <v>1541.58</v>
      </c>
      <c r="Q1501" t="s">
        <v>2169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8B0A-B717-4D17-8F92-1330A6651C58}">
  <dimension ref="A3:C9"/>
  <sheetViews>
    <sheetView workbookViewId="0">
      <selection activeCell="C10" sqref="C10"/>
    </sheetView>
  </sheetViews>
  <sheetFormatPr defaultRowHeight="14.4"/>
  <cols>
    <col min="1" max="1" width="13.109375" bestFit="1" customWidth="1"/>
    <col min="2" max="2" width="12" bestFit="1" customWidth="1"/>
    <col min="3" max="3" width="12.109375" bestFit="1" customWidth="1"/>
  </cols>
  <sheetData>
    <row r="3" spans="1:3">
      <c r="A3" s="13" t="s">
        <v>2177</v>
      </c>
      <c r="B3" t="s">
        <v>2179</v>
      </c>
      <c r="C3" t="s">
        <v>2180</v>
      </c>
    </row>
    <row r="4" spans="1:3">
      <c r="A4" s="14" t="s">
        <v>2143</v>
      </c>
      <c r="B4" s="15">
        <v>38550939.770000011</v>
      </c>
      <c r="C4" s="15">
        <v>5109995.4299999978</v>
      </c>
    </row>
    <row r="5" spans="1:3">
      <c r="A5" s="14" t="s">
        <v>2142</v>
      </c>
      <c r="B5" s="15">
        <v>9364611.2600000091</v>
      </c>
      <c r="C5" s="15">
        <v>1705281.1700000011</v>
      </c>
    </row>
    <row r="6" spans="1:3">
      <c r="A6" s="14" t="s">
        <v>2144</v>
      </c>
      <c r="B6" s="15">
        <v>459598.09999999986</v>
      </c>
      <c r="C6" s="15">
        <v>107881.73999999998</v>
      </c>
    </row>
    <row r="7" spans="1:3">
      <c r="A7" s="14" t="s">
        <v>2178</v>
      </c>
      <c r="B7" s="15">
        <v>48375149.130000018</v>
      </c>
      <c r="C7" s="15">
        <v>6923158.3399999989</v>
      </c>
    </row>
    <row r="9" spans="1:3">
      <c r="C9">
        <f>GETPIVOTDATA("Sum of Sales",$A$3,"Category","Electronics")</f>
        <v>38550939.770000011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9791-1DE4-4EDF-9BA4-3D38140EB50B}">
  <dimension ref="A3:C8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12" bestFit="1" customWidth="1"/>
    <col min="3" max="3" width="12.109375" bestFit="1" customWidth="1"/>
  </cols>
  <sheetData>
    <row r="3" spans="1:3">
      <c r="A3" s="13" t="s">
        <v>2177</v>
      </c>
      <c r="B3" t="s">
        <v>2179</v>
      </c>
      <c r="C3" t="s">
        <v>2180</v>
      </c>
    </row>
    <row r="4" spans="1:3">
      <c r="A4" s="14" t="s">
        <v>2119</v>
      </c>
      <c r="B4" s="15">
        <v>10996134.479999999</v>
      </c>
      <c r="C4" s="15">
        <v>1655647.0399999986</v>
      </c>
    </row>
    <row r="5" spans="1:3">
      <c r="A5" s="14" t="s">
        <v>2118</v>
      </c>
      <c r="B5" s="15">
        <v>12222771.730000008</v>
      </c>
      <c r="C5" s="15">
        <v>1704299.5799999996</v>
      </c>
    </row>
    <row r="6" spans="1:3">
      <c r="A6" s="14" t="s">
        <v>2117</v>
      </c>
      <c r="B6" s="15">
        <v>13961115.339999998</v>
      </c>
      <c r="C6" s="15">
        <v>1943587.9000000011</v>
      </c>
    </row>
    <row r="7" spans="1:3">
      <c r="A7" s="14" t="s">
        <v>2116</v>
      </c>
      <c r="B7" s="15">
        <v>11195127.579999989</v>
      </c>
      <c r="C7" s="15">
        <v>1619623.8199999994</v>
      </c>
    </row>
    <row r="8" spans="1:3">
      <c r="A8" s="14" t="s">
        <v>2178</v>
      </c>
      <c r="B8" s="15">
        <v>48375149.129999995</v>
      </c>
      <c r="C8" s="15">
        <v>6923158.3399999989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2E09-AC63-4CDD-BA45-B0B18F7B28E6}">
  <dimension ref="A3:C18"/>
  <sheetViews>
    <sheetView workbookViewId="0">
      <selection activeCell="B5" sqref="B5"/>
    </sheetView>
  </sheetViews>
  <sheetFormatPr defaultRowHeight="14.4"/>
  <cols>
    <col min="1" max="1" width="14.44140625" bestFit="1" customWidth="1"/>
    <col min="2" max="2" width="12" bestFit="1" customWidth="1"/>
    <col min="3" max="3" width="12.109375" bestFit="1" customWidth="1"/>
  </cols>
  <sheetData>
    <row r="3" spans="1:3">
      <c r="A3" s="13" t="s">
        <v>2177</v>
      </c>
      <c r="B3" t="s">
        <v>2179</v>
      </c>
      <c r="C3" t="s">
        <v>2180</v>
      </c>
    </row>
    <row r="4" spans="1:3">
      <c r="A4" s="14" t="s">
        <v>2163</v>
      </c>
      <c r="B4" s="15">
        <v>14208075.399999999</v>
      </c>
      <c r="C4" s="15">
        <v>1964313.7599999995</v>
      </c>
    </row>
    <row r="5" spans="1:3">
      <c r="A5" s="14" t="s">
        <v>2158</v>
      </c>
      <c r="B5" s="15">
        <v>10698033.740000002</v>
      </c>
      <c r="C5" s="15">
        <v>1343276.4400000006</v>
      </c>
    </row>
    <row r="6" spans="1:3">
      <c r="A6" s="14" t="s">
        <v>2154</v>
      </c>
      <c r="B6" s="15">
        <v>9132833.3400000017</v>
      </c>
      <c r="C6" s="15">
        <v>1201088.2000000004</v>
      </c>
    </row>
    <row r="7" spans="1:3">
      <c r="A7" s="14" t="s">
        <v>2164</v>
      </c>
      <c r="B7" s="15">
        <v>3827442.2700000005</v>
      </c>
      <c r="C7" s="15">
        <v>512065.99999999994</v>
      </c>
    </row>
    <row r="8" spans="1:3">
      <c r="A8" s="14" t="s">
        <v>2157</v>
      </c>
      <c r="B8" s="15">
        <v>3494627.2100000004</v>
      </c>
      <c r="C8" s="15">
        <v>638095.32999999996</v>
      </c>
    </row>
    <row r="9" spans="1:3">
      <c r="A9" s="14" t="s">
        <v>2153</v>
      </c>
      <c r="B9" s="15">
        <v>2603446.0900000012</v>
      </c>
      <c r="C9" s="15">
        <v>454148.95999999996</v>
      </c>
    </row>
    <row r="10" spans="1:3">
      <c r="A10" s="14" t="s">
        <v>2165</v>
      </c>
      <c r="B10" s="15">
        <v>1723076.42</v>
      </c>
      <c r="C10" s="15">
        <v>314547.14000000007</v>
      </c>
    </row>
    <row r="11" spans="1:3">
      <c r="A11" s="14" t="s">
        <v>2160</v>
      </c>
      <c r="B11" s="15">
        <v>1543461.5400000003</v>
      </c>
      <c r="C11" s="15">
        <v>298489.74</v>
      </c>
    </row>
    <row r="12" spans="1:3">
      <c r="A12" s="14" t="s">
        <v>2161</v>
      </c>
      <c r="B12" s="15">
        <v>402280.56000000023</v>
      </c>
      <c r="C12" s="15">
        <v>52538.179999999993</v>
      </c>
    </row>
    <row r="13" spans="1:3">
      <c r="A13" s="14" t="s">
        <v>2156</v>
      </c>
      <c r="B13" s="15">
        <v>282274.46000000008</v>
      </c>
      <c r="C13" s="15">
        <v>36712.85</v>
      </c>
    </row>
    <row r="14" spans="1:3">
      <c r="A14" s="14" t="s">
        <v>2155</v>
      </c>
      <c r="B14" s="15">
        <v>174057.77999999997</v>
      </c>
      <c r="C14" s="15">
        <v>40018.32</v>
      </c>
    </row>
    <row r="15" spans="1:3">
      <c r="A15" s="14" t="s">
        <v>2166</v>
      </c>
      <c r="B15" s="15">
        <v>114153.65999999997</v>
      </c>
      <c r="C15" s="15">
        <v>26643.649999999998</v>
      </c>
    </row>
    <row r="16" spans="1:3">
      <c r="A16" s="14" t="s">
        <v>2159</v>
      </c>
      <c r="B16" s="15">
        <v>91944.450000000026</v>
      </c>
      <c r="C16" s="15">
        <v>22541.640000000003</v>
      </c>
    </row>
    <row r="17" spans="1:3">
      <c r="A17" s="14" t="s">
        <v>2162</v>
      </c>
      <c r="B17" s="15">
        <v>79442.209999999992</v>
      </c>
      <c r="C17" s="15">
        <v>18678.13</v>
      </c>
    </row>
    <row r="18" spans="1:3">
      <c r="A18" s="14" t="s">
        <v>2178</v>
      </c>
      <c r="B18" s="15">
        <v>48375149.13000001</v>
      </c>
      <c r="C18" s="15">
        <v>6923158.3399999999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CF4E-78F4-4970-9C96-5E303D2EFB7E}">
  <dimension ref="A3:C16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12" bestFit="1" customWidth="1"/>
    <col min="3" max="3" width="12.109375" bestFit="1" customWidth="1"/>
  </cols>
  <sheetData>
    <row r="3" spans="1:3">
      <c r="A3" s="13" t="s">
        <v>2177</v>
      </c>
      <c r="B3" t="s">
        <v>2179</v>
      </c>
      <c r="C3" t="s">
        <v>2180</v>
      </c>
    </row>
    <row r="4" spans="1:3">
      <c r="A4" s="14" t="s">
        <v>2193</v>
      </c>
      <c r="B4" s="15">
        <v>4558783.950000002</v>
      </c>
      <c r="C4" s="15">
        <v>680304.51000000047</v>
      </c>
    </row>
    <row r="5" spans="1:3">
      <c r="A5" s="14" t="s">
        <v>2194</v>
      </c>
      <c r="B5" s="15">
        <v>4461477.41</v>
      </c>
      <c r="C5" s="15">
        <v>583321.71999999986</v>
      </c>
    </row>
    <row r="6" spans="1:3">
      <c r="A6" s="14" t="s">
        <v>2195</v>
      </c>
      <c r="B6" s="15">
        <v>3697121.86</v>
      </c>
      <c r="C6" s="15">
        <v>517785.07000000007</v>
      </c>
    </row>
    <row r="7" spans="1:3">
      <c r="A7" s="14" t="s">
        <v>2196</v>
      </c>
      <c r="B7" s="15">
        <v>2790935.3599999994</v>
      </c>
      <c r="C7" s="15">
        <v>336738.62999999989</v>
      </c>
    </row>
    <row r="8" spans="1:3">
      <c r="A8" s="14" t="s">
        <v>2197</v>
      </c>
      <c r="B8" s="15">
        <v>3858104.9100000015</v>
      </c>
      <c r="C8" s="15">
        <v>580771.37000000023</v>
      </c>
    </row>
    <row r="9" spans="1:3">
      <c r="A9" s="14" t="s">
        <v>2198</v>
      </c>
      <c r="B9" s="15">
        <v>3985541.620000001</v>
      </c>
      <c r="C9" s="15">
        <v>615347.37000000011</v>
      </c>
    </row>
    <row r="10" spans="1:3">
      <c r="A10" s="14" t="s">
        <v>2199</v>
      </c>
      <c r="B10" s="15">
        <v>4392458.0599999987</v>
      </c>
      <c r="C10" s="15">
        <v>598438.52</v>
      </c>
    </row>
    <row r="11" spans="1:3">
      <c r="A11" s="14" t="s">
        <v>2200</v>
      </c>
      <c r="B11" s="15">
        <v>4809282.7500000037</v>
      </c>
      <c r="C11" s="15">
        <v>715441.2899999998</v>
      </c>
    </row>
    <row r="12" spans="1:3">
      <c r="A12" s="14" t="s">
        <v>2201</v>
      </c>
      <c r="B12" s="15">
        <v>4122590.6600000006</v>
      </c>
      <c r="C12" s="15">
        <v>620265.17999999993</v>
      </c>
    </row>
    <row r="13" spans="1:3">
      <c r="A13" s="14" t="s">
        <v>2202</v>
      </c>
      <c r="B13" s="15">
        <v>3425718.2899999991</v>
      </c>
      <c r="C13" s="15">
        <v>510030.87999999995</v>
      </c>
    </row>
    <row r="14" spans="1:3">
      <c r="A14" s="14" t="s">
        <v>2203</v>
      </c>
      <c r="B14" s="15">
        <v>3198513.8000000007</v>
      </c>
      <c r="C14" s="15">
        <v>439376.29</v>
      </c>
    </row>
    <row r="15" spans="1:3">
      <c r="A15" s="14" t="s">
        <v>2204</v>
      </c>
      <c r="B15" s="15">
        <v>5074620.46</v>
      </c>
      <c r="C15" s="15">
        <v>725337.50999999978</v>
      </c>
    </row>
    <row r="16" spans="1:3">
      <c r="A16" s="14" t="s">
        <v>2178</v>
      </c>
      <c r="B16" s="15">
        <v>48375149.130000003</v>
      </c>
      <c r="C16" s="15">
        <v>6923158.3399999999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analysis</vt:lpstr>
      <vt:lpstr>Raw_Data</vt:lpstr>
      <vt:lpstr>categoryanalysis</vt:lpstr>
      <vt:lpstr>Regionalanalysis</vt:lpstr>
      <vt:lpstr>Productanalysis</vt:lpstr>
      <vt:lpstr>Monthy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Ojha</dc:creator>
  <cp:lastModifiedBy>Kritika Ojha</cp:lastModifiedBy>
  <dcterms:created xsi:type="dcterms:W3CDTF">2026-08-19T14:21:42Z</dcterms:created>
  <dcterms:modified xsi:type="dcterms:W3CDTF">2026-08-21T14:51:43Z</dcterms:modified>
</cp:coreProperties>
</file>